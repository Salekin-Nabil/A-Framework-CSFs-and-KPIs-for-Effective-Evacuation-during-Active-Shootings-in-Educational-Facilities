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Clemson University Course Works\1. Emerging Technologies in Built Environment\Active Shooting\New folder\"/>
    </mc:Choice>
  </mc:AlternateContent>
  <xr:revisionPtr revIDLastSave="0" documentId="13_ncr:1_{2FFD3294-C906-42E4-A027-B68ED0D26E28}" xr6:coauthVersionLast="47" xr6:coauthVersionMax="47" xr10:uidLastSave="{00000000-0000-0000-0000-000000000000}"/>
  <bookViews>
    <workbookView xWindow="25695" yWindow="0" windowWidth="26010" windowHeight="21705" xr2:uid="{5DC3CF49-D4C7-4211-A98E-95293E569068}"/>
  </bookViews>
  <sheets>
    <sheet name="Metrics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5" i="2" l="1"/>
  <c r="D231" i="2"/>
  <c r="C231" i="2"/>
  <c r="B231" i="2"/>
  <c r="E197" i="2"/>
  <c r="D197" i="2"/>
  <c r="C197" i="2"/>
  <c r="B197" i="2"/>
  <c r="F164" i="2"/>
  <c r="E164" i="2"/>
  <c r="D164" i="2"/>
  <c r="C164" i="2"/>
  <c r="B164" i="2"/>
  <c r="F131" i="2"/>
  <c r="E131" i="2"/>
  <c r="D131" i="2"/>
  <c r="C131" i="2"/>
  <c r="B131" i="2"/>
  <c r="F98" i="2"/>
  <c r="E98" i="2"/>
  <c r="D98" i="2"/>
  <c r="C98" i="2"/>
  <c r="B98" i="2"/>
  <c r="E65" i="2"/>
  <c r="D65" i="2"/>
  <c r="C65" i="2"/>
  <c r="B65" i="2"/>
  <c r="G98" i="2" l="1"/>
  <c r="G65" i="2"/>
  <c r="G164" i="2"/>
  <c r="G131" i="2"/>
  <c r="E231" i="2"/>
  <c r="F197" i="2"/>
</calcChain>
</file>

<file path=xl/sharedStrings.xml><?xml version="1.0" encoding="utf-8"?>
<sst xmlns="http://schemas.openxmlformats.org/spreadsheetml/2006/main" count="424" uniqueCount="93">
  <si>
    <t>CSF 1</t>
  </si>
  <si>
    <t>CSF 2</t>
  </si>
  <si>
    <t>CSF 3</t>
  </si>
  <si>
    <t>CSF 4</t>
  </si>
  <si>
    <t>CSF 5</t>
  </si>
  <si>
    <t>Critical Success Factors</t>
  </si>
  <si>
    <t>KPI - Building Layout &amp; Arch Factors</t>
  </si>
  <si>
    <t>KPI 1</t>
  </si>
  <si>
    <t>KPI 2</t>
  </si>
  <si>
    <t>KPI 3</t>
  </si>
  <si>
    <t>KPI 4</t>
  </si>
  <si>
    <t>KPI 5</t>
  </si>
  <si>
    <t>Role</t>
  </si>
  <si>
    <t>Affiliation</t>
  </si>
  <si>
    <t>Experience</t>
  </si>
  <si>
    <t>Facility</t>
  </si>
  <si>
    <t>Corporate</t>
  </si>
  <si>
    <t>Architect</t>
  </si>
  <si>
    <t>&gt;1</t>
  </si>
  <si>
    <t>Industrial</t>
  </si>
  <si>
    <t>KPI - Tech &amp; Comms</t>
  </si>
  <si>
    <t>KPI - Org &amp; Training</t>
  </si>
  <si>
    <t>KPI - Enviro &amp; Contextual</t>
  </si>
  <si>
    <t>Higher Ed</t>
  </si>
  <si>
    <t>Law Enforcement</t>
  </si>
  <si>
    <t>&lt;10</t>
  </si>
  <si>
    <t>Consultant</t>
  </si>
  <si>
    <t>SME</t>
  </si>
  <si>
    <t>Healthcare</t>
  </si>
  <si>
    <t>Public Venue</t>
  </si>
  <si>
    <t>Other</t>
  </si>
  <si>
    <t>School / University</t>
  </si>
  <si>
    <t>X</t>
  </si>
  <si>
    <t>Designer</t>
  </si>
  <si>
    <t>Data Centers</t>
  </si>
  <si>
    <t>IT</t>
  </si>
  <si>
    <t>7 - 10</t>
  </si>
  <si>
    <t>Red = 1 - 3</t>
  </si>
  <si>
    <t>Yellow = 4 - 6</t>
  </si>
  <si>
    <t>Blue = 7 - 9</t>
  </si>
  <si>
    <t>Green = 100%</t>
  </si>
  <si>
    <t>Points</t>
  </si>
  <si>
    <t>Office / Corporate</t>
  </si>
  <si>
    <t>Govt / Military</t>
  </si>
  <si>
    <t>Researcher</t>
  </si>
  <si>
    <t>1-3</t>
  </si>
  <si>
    <t>Emer Mgmt</t>
  </si>
  <si>
    <t>7-10</t>
  </si>
  <si>
    <t xml:space="preserve">Emergency Management </t>
  </si>
  <si>
    <t>13-39</t>
  </si>
  <si>
    <t>52-78</t>
  </si>
  <si>
    <t>91-117</t>
  </si>
  <si>
    <t>Respondent Data</t>
  </si>
  <si>
    <t>Respondent 1</t>
  </si>
  <si>
    <t>Respondnt 2</t>
  </si>
  <si>
    <t>Respondent 3</t>
  </si>
  <si>
    <t>Respondent 4</t>
  </si>
  <si>
    <t>Respondent 5</t>
  </si>
  <si>
    <t>Respondent 6</t>
  </si>
  <si>
    <t>Respondent 7A</t>
  </si>
  <si>
    <t>Respondent 8B</t>
  </si>
  <si>
    <t>Respondent 9C</t>
  </si>
  <si>
    <t>Respondent 10D</t>
  </si>
  <si>
    <t>Respondent 11E</t>
  </si>
  <si>
    <t>Respondent 12F</t>
  </si>
  <si>
    <t>Respondent 13</t>
  </si>
  <si>
    <t>Respondent 2</t>
  </si>
  <si>
    <t>KPI - Respondent Behavior</t>
  </si>
  <si>
    <t>Respondent 14</t>
  </si>
  <si>
    <t>Respondent 15</t>
  </si>
  <si>
    <t>Respondent 16</t>
  </si>
  <si>
    <t>Respondent 17</t>
  </si>
  <si>
    <t>Respondent 18</t>
  </si>
  <si>
    <t>Respondent 19</t>
  </si>
  <si>
    <t>Respondent 20</t>
  </si>
  <si>
    <t>Respondent 21</t>
  </si>
  <si>
    <t>Respondent 22</t>
  </si>
  <si>
    <t>Respondent 23</t>
  </si>
  <si>
    <t>Respondent 24</t>
  </si>
  <si>
    <t>Respondent 25</t>
  </si>
  <si>
    <t>Respondent 26</t>
  </si>
  <si>
    <t>Respondent 27</t>
  </si>
  <si>
    <t>Respondent 28</t>
  </si>
  <si>
    <t>Respondent 29</t>
  </si>
  <si>
    <t>Respondent 30</t>
  </si>
  <si>
    <t>Government Agency</t>
  </si>
  <si>
    <t>Firefighter / Paramedic</t>
  </si>
  <si>
    <t>Firefighter</t>
  </si>
  <si>
    <t>4-6</t>
  </si>
  <si>
    <t>Security Officer</t>
  </si>
  <si>
    <t>Total Score Gained</t>
  </si>
  <si>
    <t>Total Score Possible</t>
  </si>
  <si>
    <t>For Each CSF  - Total Score Possible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</si>
</sst>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8"/>
      <name val="Aptos Narrow"/>
      <family val="2"/>
      <scheme val="minor"/>
    </font>
    <font>
      <sz val="1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5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/>
    </xf>
    <xf numFmtId="0" fontId="0" fillId="3" borderId="0" xfId="0" applyFill="1" applyAlignment="1">
      <alignment horizontal="left"/>
    </xf>
    <xf numFmtId="0" fontId="0" fillId="4" borderId="0" xfId="0" applyFill="1" applyAlignment="1">
      <alignment horizontal="left"/>
    </xf>
    <xf numFmtId="0" fontId="0" fillId="2" borderId="0" xfId="0" applyFill="1" applyAlignment="1">
      <alignment horizontal="left"/>
    </xf>
    <xf numFmtId="0" fontId="4" fillId="5" borderId="0" xfId="0" applyFont="1" applyFill="1" applyAlignment="1">
      <alignment horizontal="left"/>
    </xf>
    <xf numFmtId="49" fontId="0" fillId="0" borderId="0" xfId="0" applyNumberFormat="1" applyAlignment="1">
      <alignment horizontal="right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8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/>
    </xf>
    <xf numFmtId="0" fontId="0" fillId="0" borderId="10" xfId="0" applyBorder="1"/>
    <xf numFmtId="0" fontId="1" fillId="0" borderId="11" xfId="0" applyFont="1" applyBorder="1" applyAlignment="1">
      <alignment horizontal="left"/>
    </xf>
    <xf numFmtId="0" fontId="1" fillId="0" borderId="11" xfId="0" applyFont="1" applyBorder="1" applyAlignment="1">
      <alignment horizontal="left" vertical="center"/>
    </xf>
    <xf numFmtId="0" fontId="0" fillId="0" borderId="12" xfId="0" applyBorder="1"/>
    <xf numFmtId="0" fontId="1" fillId="0" borderId="13" xfId="0" applyFont="1" applyBorder="1" applyAlignment="1">
      <alignment horizontal="center" vertical="center"/>
    </xf>
    <xf numFmtId="0" fontId="1" fillId="0" borderId="13" xfId="0" applyFont="1" applyBorder="1"/>
    <xf numFmtId="0" fontId="1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left"/>
    </xf>
    <xf numFmtId="0" fontId="1" fillId="0" borderId="0" xfId="0" applyFont="1" applyAlignment="1">
      <alignment horizontal="left"/>
    </xf>
    <xf numFmtId="0" fontId="1" fillId="0" borderId="7" xfId="0" applyFont="1" applyBorder="1" applyAlignment="1">
      <alignment horizontal="left" vertical="center"/>
    </xf>
    <xf numFmtId="0" fontId="1" fillId="0" borderId="9" xfId="0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0" fontId="0" fillId="6" borderId="0" xfId="0" applyFill="1" applyAlignment="1">
      <alignment horizontal="center" vertical="center" wrapText="1"/>
    </xf>
    <xf numFmtId="0" fontId="2" fillId="6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3" borderId="0" xfId="0" applyFill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1" fillId="0" borderId="17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1" fillId="0" borderId="2" xfId="0" applyFont="1" applyBorder="1" applyAlignment="1">
      <alignment horizontal="center" wrapText="1"/>
    </xf>
    <xf numFmtId="0" fontId="1" fillId="0" borderId="6" xfId="0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1" fillId="0" borderId="5" xfId="0" applyFont="1" applyBorder="1" applyAlignment="1">
      <alignment horizontal="center" wrapText="1"/>
    </xf>
    <xf numFmtId="0" fontId="1" fillId="0" borderId="3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theme="4" tint="0.79998168889431442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A1809E-F5DB-4E1F-A064-68D3D04061B6}">
  <dimension ref="A1:O231"/>
  <sheetViews>
    <sheetView tabSelected="1" topLeftCell="A198" zoomScale="115" zoomScaleNormal="115" workbookViewId="0">
      <selection activeCell="G201" sqref="G201"/>
    </sheetView>
  </sheetViews>
  <sheetFormatPr defaultRowHeight="15" x14ac:dyDescent="0.25"/>
  <cols>
    <col min="1" max="1" width="34.5703125" customWidth="1"/>
    <col min="2" max="2" width="25" style="3" customWidth="1"/>
    <col min="3" max="3" width="23.42578125" style="3" customWidth="1"/>
    <col min="4" max="4" width="13" style="2" customWidth="1"/>
    <col min="5" max="5" width="12.140625" style="2" customWidth="1"/>
    <col min="6" max="6" width="14.85546875" style="2" customWidth="1"/>
    <col min="7" max="7" width="14.140625" customWidth="1"/>
    <col min="8" max="8" width="15.140625" customWidth="1"/>
    <col min="9" max="9" width="16.85546875" customWidth="1"/>
    <col min="10" max="10" width="8.7109375" style="1"/>
    <col min="11" max="11" width="17.85546875" style="4" customWidth="1"/>
    <col min="13" max="13" width="12.7109375" customWidth="1"/>
  </cols>
  <sheetData>
    <row r="1" spans="1:15" ht="15.75" thickBot="1" x14ac:dyDescent="0.3">
      <c r="B1" s="10"/>
      <c r="C1" s="10"/>
      <c r="D1" s="11"/>
      <c r="E1" s="45" t="s">
        <v>15</v>
      </c>
      <c r="F1" s="46"/>
      <c r="G1" s="46"/>
      <c r="H1" s="46"/>
      <c r="I1" s="46"/>
      <c r="J1" s="47"/>
      <c r="K1" s="27"/>
    </row>
    <row r="2" spans="1:15" s="2" customFormat="1" ht="30" x14ac:dyDescent="0.25">
      <c r="A2" s="28" t="s">
        <v>52</v>
      </c>
      <c r="B2" s="17" t="s">
        <v>13</v>
      </c>
      <c r="C2" s="17" t="s">
        <v>12</v>
      </c>
      <c r="D2" s="18" t="s">
        <v>14</v>
      </c>
      <c r="E2" s="17" t="s">
        <v>31</v>
      </c>
      <c r="F2" s="17" t="s">
        <v>42</v>
      </c>
      <c r="G2" s="17" t="s">
        <v>28</v>
      </c>
      <c r="H2" s="17" t="s">
        <v>29</v>
      </c>
      <c r="I2" s="17" t="s">
        <v>43</v>
      </c>
      <c r="J2" s="17" t="s">
        <v>30</v>
      </c>
      <c r="K2" s="29"/>
    </row>
    <row r="3" spans="1:15" ht="15" customHeight="1" x14ac:dyDescent="0.25">
      <c r="A3" s="19" t="s">
        <v>53</v>
      </c>
      <c r="B3" s="13" t="s">
        <v>16</v>
      </c>
      <c r="C3" s="13" t="s">
        <v>17</v>
      </c>
      <c r="D3" s="14" t="s">
        <v>18</v>
      </c>
      <c r="E3" s="14"/>
      <c r="F3" s="14"/>
      <c r="G3" s="15"/>
      <c r="H3" s="15"/>
      <c r="I3" s="15"/>
      <c r="J3" s="16" t="s">
        <v>32</v>
      </c>
      <c r="K3" s="20" t="s">
        <v>19</v>
      </c>
    </row>
    <row r="4" spans="1:15" ht="15" customHeight="1" x14ac:dyDescent="0.25">
      <c r="A4" s="19" t="s">
        <v>54</v>
      </c>
      <c r="B4" s="13" t="s">
        <v>23</v>
      </c>
      <c r="C4" s="13" t="s">
        <v>24</v>
      </c>
      <c r="D4" s="14" t="s">
        <v>25</v>
      </c>
      <c r="E4" s="14" t="s">
        <v>32</v>
      </c>
      <c r="F4" s="14"/>
      <c r="G4" s="15"/>
      <c r="H4" s="15"/>
      <c r="I4" s="15"/>
      <c r="J4" s="16"/>
      <c r="K4" s="20"/>
    </row>
    <row r="5" spans="1:15" ht="15" customHeight="1" x14ac:dyDescent="0.25">
      <c r="A5" s="19" t="s">
        <v>55</v>
      </c>
      <c r="B5" s="13" t="s">
        <v>26</v>
      </c>
      <c r="C5" s="13" t="s">
        <v>27</v>
      </c>
      <c r="D5" s="14" t="s">
        <v>25</v>
      </c>
      <c r="E5" s="14" t="s">
        <v>32</v>
      </c>
      <c r="F5" s="14" t="s">
        <v>32</v>
      </c>
      <c r="G5" s="14" t="s">
        <v>32</v>
      </c>
      <c r="H5" s="14" t="s">
        <v>32</v>
      </c>
      <c r="I5" s="15"/>
      <c r="J5" s="16"/>
      <c r="K5" s="20"/>
      <c r="M5" s="8" t="s">
        <v>37</v>
      </c>
      <c r="N5" s="9" t="s">
        <v>49</v>
      </c>
      <c r="O5" t="s">
        <v>41</v>
      </c>
    </row>
    <row r="6" spans="1:15" ht="15" customHeight="1" x14ac:dyDescent="0.25">
      <c r="A6" s="19" t="s">
        <v>56</v>
      </c>
      <c r="B6" s="13" t="s">
        <v>16</v>
      </c>
      <c r="C6" s="13" t="s">
        <v>33</v>
      </c>
      <c r="D6" s="14" t="s">
        <v>25</v>
      </c>
      <c r="E6" s="14" t="s">
        <v>32</v>
      </c>
      <c r="F6" s="14" t="s">
        <v>32</v>
      </c>
      <c r="G6" s="15"/>
      <c r="H6" s="15"/>
      <c r="I6" s="15"/>
      <c r="J6" s="16"/>
      <c r="K6" s="20"/>
      <c r="M6" s="5" t="s">
        <v>38</v>
      </c>
      <c r="N6" s="9" t="s">
        <v>50</v>
      </c>
      <c r="O6" t="s">
        <v>41</v>
      </c>
    </row>
    <row r="7" spans="1:15" ht="15" customHeight="1" x14ac:dyDescent="0.25">
      <c r="A7" s="19" t="s">
        <v>57</v>
      </c>
      <c r="B7" s="13" t="s">
        <v>26</v>
      </c>
      <c r="C7" s="13" t="s">
        <v>27</v>
      </c>
      <c r="D7" s="14" t="s">
        <v>25</v>
      </c>
      <c r="E7" s="14" t="s">
        <v>32</v>
      </c>
      <c r="F7" s="14" t="s">
        <v>32</v>
      </c>
      <c r="G7" s="14" t="s">
        <v>32</v>
      </c>
      <c r="H7" s="14" t="s">
        <v>32</v>
      </c>
      <c r="I7" s="15"/>
      <c r="J7" s="14" t="s">
        <v>32</v>
      </c>
      <c r="K7" s="21" t="s">
        <v>34</v>
      </c>
      <c r="M7" s="6" t="s">
        <v>39</v>
      </c>
      <c r="N7" s="9" t="s">
        <v>51</v>
      </c>
      <c r="O7" t="s">
        <v>41</v>
      </c>
    </row>
    <row r="8" spans="1:15" ht="15" customHeight="1" x14ac:dyDescent="0.25">
      <c r="A8" s="19" t="s">
        <v>58</v>
      </c>
      <c r="B8" s="13" t="s">
        <v>23</v>
      </c>
      <c r="C8" s="13" t="s">
        <v>35</v>
      </c>
      <c r="D8" s="30" t="s">
        <v>36</v>
      </c>
      <c r="E8" s="14" t="s">
        <v>32</v>
      </c>
      <c r="F8" s="14"/>
      <c r="G8" s="15"/>
      <c r="H8" s="15"/>
      <c r="I8" s="15"/>
      <c r="J8" s="16"/>
      <c r="K8" s="20"/>
      <c r="M8" s="7" t="s">
        <v>40</v>
      </c>
      <c r="N8" s="9"/>
    </row>
    <row r="9" spans="1:15" ht="15" customHeight="1" x14ac:dyDescent="0.25">
      <c r="A9" s="19" t="s">
        <v>59</v>
      </c>
      <c r="B9" s="13" t="s">
        <v>23</v>
      </c>
      <c r="C9" s="13" t="s">
        <v>44</v>
      </c>
      <c r="D9" s="14" t="s">
        <v>25</v>
      </c>
      <c r="E9" s="14" t="s">
        <v>32</v>
      </c>
      <c r="F9" s="14"/>
      <c r="G9" s="15"/>
      <c r="H9" s="15"/>
      <c r="I9" s="15"/>
      <c r="J9" s="16"/>
      <c r="K9" s="20"/>
      <c r="M9" s="4"/>
      <c r="N9" s="9"/>
    </row>
    <row r="10" spans="1:15" ht="15" customHeight="1" x14ac:dyDescent="0.25">
      <c r="A10" s="19" t="s">
        <v>60</v>
      </c>
      <c r="B10" s="13" t="s">
        <v>23</v>
      </c>
      <c r="C10" s="13" t="s">
        <v>44</v>
      </c>
      <c r="D10" s="30" t="s">
        <v>45</v>
      </c>
      <c r="E10" s="14" t="s">
        <v>32</v>
      </c>
      <c r="F10" s="14"/>
      <c r="G10" s="15"/>
      <c r="H10" s="15"/>
      <c r="I10" s="15"/>
      <c r="J10" s="16"/>
      <c r="K10" s="20"/>
      <c r="M10" s="4"/>
      <c r="N10" s="9"/>
    </row>
    <row r="11" spans="1:15" ht="15" customHeight="1" x14ac:dyDescent="0.25">
      <c r="A11" s="19" t="s">
        <v>61</v>
      </c>
      <c r="B11" s="13" t="s">
        <v>23</v>
      </c>
      <c r="C11" s="13" t="s">
        <v>44</v>
      </c>
      <c r="D11" s="14" t="s">
        <v>25</v>
      </c>
      <c r="E11" s="14" t="s">
        <v>32</v>
      </c>
      <c r="F11" s="14"/>
      <c r="G11" s="15"/>
      <c r="H11" s="15"/>
      <c r="I11" s="15" t="s">
        <v>32</v>
      </c>
      <c r="J11" s="16" t="s">
        <v>32</v>
      </c>
      <c r="K11" s="20" t="s">
        <v>46</v>
      </c>
      <c r="M11" s="4"/>
      <c r="N11" s="9"/>
    </row>
    <row r="12" spans="1:15" ht="15" customHeight="1" x14ac:dyDescent="0.25">
      <c r="A12" s="19" t="s">
        <v>62</v>
      </c>
      <c r="B12" s="13" t="s">
        <v>23</v>
      </c>
      <c r="C12" s="13" t="s">
        <v>44</v>
      </c>
      <c r="D12" s="30" t="s">
        <v>45</v>
      </c>
      <c r="E12" s="14" t="s">
        <v>32</v>
      </c>
      <c r="F12" s="14"/>
      <c r="G12" s="15"/>
      <c r="H12" s="15"/>
      <c r="I12" s="15"/>
      <c r="J12" s="16"/>
      <c r="K12" s="20"/>
      <c r="M12" s="4"/>
      <c r="N12" s="9"/>
    </row>
    <row r="13" spans="1:15" ht="15" customHeight="1" x14ac:dyDescent="0.25">
      <c r="A13" s="19" t="s">
        <v>63</v>
      </c>
      <c r="B13" s="13" t="s">
        <v>23</v>
      </c>
      <c r="C13" s="13" t="s">
        <v>44</v>
      </c>
      <c r="D13" s="30" t="s">
        <v>36</v>
      </c>
      <c r="E13" s="14" t="s">
        <v>32</v>
      </c>
      <c r="F13" s="14"/>
      <c r="G13" s="15"/>
      <c r="H13" s="15"/>
      <c r="I13" s="15" t="s">
        <v>32</v>
      </c>
      <c r="J13" s="16"/>
      <c r="K13" s="20" t="s">
        <v>46</v>
      </c>
      <c r="M13" s="4"/>
      <c r="N13" s="9"/>
    </row>
    <row r="14" spans="1:15" ht="15" customHeight="1" x14ac:dyDescent="0.25">
      <c r="A14" s="19" t="s">
        <v>64</v>
      </c>
      <c r="B14" s="13" t="s">
        <v>23</v>
      </c>
      <c r="C14" s="13" t="s">
        <v>44</v>
      </c>
      <c r="D14" s="14" t="s">
        <v>25</v>
      </c>
      <c r="E14" s="14" t="s">
        <v>32</v>
      </c>
      <c r="F14" s="14"/>
      <c r="G14" s="15"/>
      <c r="H14" s="15"/>
      <c r="I14" s="15"/>
      <c r="J14" s="16"/>
      <c r="K14" s="20"/>
      <c r="M14" s="4"/>
      <c r="N14" s="9"/>
    </row>
    <row r="15" spans="1:15" ht="15" customHeight="1" x14ac:dyDescent="0.25">
      <c r="A15" s="19" t="s">
        <v>65</v>
      </c>
      <c r="B15" s="13" t="s">
        <v>23</v>
      </c>
      <c r="C15" s="13" t="s">
        <v>48</v>
      </c>
      <c r="D15" s="30" t="s">
        <v>45</v>
      </c>
      <c r="E15" s="14" t="s">
        <v>32</v>
      </c>
      <c r="F15" s="14"/>
      <c r="G15" s="15"/>
      <c r="H15" s="15"/>
      <c r="I15" s="15"/>
      <c r="J15" s="16"/>
      <c r="K15" s="20"/>
      <c r="M15" s="4"/>
      <c r="N15" s="9"/>
    </row>
    <row r="16" spans="1:15" ht="15" customHeight="1" x14ac:dyDescent="0.25">
      <c r="A16" s="19" t="s">
        <v>68</v>
      </c>
      <c r="B16" s="13" t="s">
        <v>85</v>
      </c>
      <c r="C16" s="13" t="s">
        <v>86</v>
      </c>
      <c r="D16" s="30" t="s">
        <v>25</v>
      </c>
      <c r="E16" s="14" t="s">
        <v>32</v>
      </c>
      <c r="F16" s="14"/>
      <c r="G16" s="15"/>
      <c r="H16" s="15"/>
      <c r="I16" s="15"/>
      <c r="J16" s="16"/>
      <c r="K16" s="20"/>
      <c r="M16" s="4"/>
      <c r="N16" s="9"/>
    </row>
    <row r="17" spans="1:14" ht="15" customHeight="1" x14ac:dyDescent="0.25">
      <c r="A17" s="19" t="s">
        <v>69</v>
      </c>
      <c r="B17" s="13" t="s">
        <v>85</v>
      </c>
      <c r="C17" s="13" t="s">
        <v>87</v>
      </c>
      <c r="D17" s="30" t="s">
        <v>25</v>
      </c>
      <c r="E17" s="14" t="s">
        <v>32</v>
      </c>
      <c r="F17" s="14"/>
      <c r="G17" s="15"/>
      <c r="H17" s="15"/>
      <c r="I17" s="15"/>
      <c r="J17" s="16"/>
      <c r="K17" s="20"/>
      <c r="M17" s="4"/>
      <c r="N17" s="9"/>
    </row>
    <row r="18" spans="1:14" ht="15" customHeight="1" x14ac:dyDescent="0.25">
      <c r="A18" s="19" t="s">
        <v>70</v>
      </c>
      <c r="B18" s="13" t="s">
        <v>85</v>
      </c>
      <c r="C18" s="13" t="s">
        <v>87</v>
      </c>
      <c r="D18" s="30" t="s">
        <v>18</v>
      </c>
      <c r="E18" s="14" t="s">
        <v>32</v>
      </c>
      <c r="F18" s="14"/>
      <c r="G18" s="15"/>
      <c r="H18" s="14" t="s">
        <v>32</v>
      </c>
      <c r="I18" s="15"/>
      <c r="J18" s="16"/>
      <c r="K18" s="20"/>
      <c r="M18" s="4"/>
      <c r="N18" s="9"/>
    </row>
    <row r="19" spans="1:14" ht="15" customHeight="1" x14ac:dyDescent="0.25">
      <c r="A19" s="19" t="s">
        <v>71</v>
      </c>
      <c r="B19" s="13" t="s">
        <v>85</v>
      </c>
      <c r="C19" s="13" t="s">
        <v>87</v>
      </c>
      <c r="D19" s="30" t="s">
        <v>25</v>
      </c>
      <c r="E19" s="14" t="s">
        <v>32</v>
      </c>
      <c r="F19" s="14"/>
      <c r="G19" s="15"/>
      <c r="H19" s="15"/>
      <c r="I19" s="15"/>
      <c r="J19" s="16"/>
      <c r="K19" s="20"/>
      <c r="M19" s="4"/>
      <c r="N19" s="9"/>
    </row>
    <row r="20" spans="1:14" ht="15" customHeight="1" x14ac:dyDescent="0.25">
      <c r="A20" s="19" t="s">
        <v>72</v>
      </c>
      <c r="B20" s="13" t="s">
        <v>85</v>
      </c>
      <c r="C20" s="13" t="s">
        <v>48</v>
      </c>
      <c r="D20" s="30" t="s">
        <v>88</v>
      </c>
      <c r="E20" s="14"/>
      <c r="F20" s="14"/>
      <c r="G20" s="15"/>
      <c r="H20" s="15"/>
      <c r="I20" s="14" t="s">
        <v>32</v>
      </c>
      <c r="J20" s="16"/>
      <c r="K20" s="20"/>
      <c r="M20" s="4"/>
      <c r="N20" s="9"/>
    </row>
    <row r="21" spans="1:14" ht="15" customHeight="1" x14ac:dyDescent="0.25">
      <c r="A21" s="19" t="s">
        <v>73</v>
      </c>
      <c r="B21" s="13" t="s">
        <v>85</v>
      </c>
      <c r="C21" s="13" t="s">
        <v>48</v>
      </c>
      <c r="D21" s="30" t="s">
        <v>45</v>
      </c>
      <c r="E21" s="14" t="s">
        <v>32</v>
      </c>
      <c r="F21" s="14" t="s">
        <v>32</v>
      </c>
      <c r="G21" s="15"/>
      <c r="H21" s="15"/>
      <c r="I21" s="14"/>
      <c r="J21" s="16"/>
      <c r="K21" s="20"/>
      <c r="M21" s="4"/>
      <c r="N21" s="9"/>
    </row>
    <row r="22" spans="1:14" ht="15" customHeight="1" x14ac:dyDescent="0.25">
      <c r="A22" s="19" t="s">
        <v>74</v>
      </c>
      <c r="B22" s="13" t="s">
        <v>85</v>
      </c>
      <c r="C22" s="13" t="s">
        <v>89</v>
      </c>
      <c r="D22" s="30" t="s">
        <v>25</v>
      </c>
      <c r="E22" s="14"/>
      <c r="F22" s="14"/>
      <c r="G22" s="15"/>
      <c r="H22" s="15"/>
      <c r="I22" s="14" t="s">
        <v>32</v>
      </c>
      <c r="J22" s="16"/>
      <c r="K22" s="20"/>
      <c r="M22" s="4"/>
      <c r="N22" s="9"/>
    </row>
    <row r="23" spans="1:14" ht="15" customHeight="1" x14ac:dyDescent="0.25">
      <c r="A23" s="19" t="s">
        <v>75</v>
      </c>
      <c r="B23" s="13" t="s">
        <v>85</v>
      </c>
      <c r="C23" s="13" t="s">
        <v>89</v>
      </c>
      <c r="D23" s="30" t="s">
        <v>88</v>
      </c>
      <c r="E23" s="14" t="s">
        <v>32</v>
      </c>
      <c r="F23" s="14"/>
      <c r="G23" s="15"/>
      <c r="H23" s="15"/>
      <c r="I23" s="15"/>
      <c r="J23" s="16"/>
      <c r="K23" s="20"/>
      <c r="M23" s="4"/>
      <c r="N23" s="9"/>
    </row>
    <row r="24" spans="1:14" ht="15" customHeight="1" x14ac:dyDescent="0.25">
      <c r="A24" s="19" t="s">
        <v>76</v>
      </c>
      <c r="B24" s="13" t="s">
        <v>85</v>
      </c>
      <c r="C24" s="13" t="s">
        <v>89</v>
      </c>
      <c r="D24" s="30" t="s">
        <v>47</v>
      </c>
      <c r="E24" s="14" t="s">
        <v>32</v>
      </c>
      <c r="F24" s="14"/>
      <c r="G24" s="15"/>
      <c r="H24" s="15"/>
      <c r="I24" s="15"/>
      <c r="J24" s="16"/>
      <c r="K24" s="20"/>
      <c r="M24" s="4"/>
      <c r="N24" s="9"/>
    </row>
    <row r="25" spans="1:14" ht="15" customHeight="1" x14ac:dyDescent="0.25">
      <c r="A25" s="19" t="s">
        <v>77</v>
      </c>
      <c r="B25" s="13" t="s">
        <v>85</v>
      </c>
      <c r="C25" s="13" t="s">
        <v>89</v>
      </c>
      <c r="D25" s="30" t="s">
        <v>88</v>
      </c>
      <c r="E25" s="14"/>
      <c r="F25" s="14"/>
      <c r="G25" s="15"/>
      <c r="H25" s="15"/>
      <c r="I25" s="14" t="s">
        <v>32</v>
      </c>
      <c r="J25" s="16"/>
      <c r="K25" s="20"/>
      <c r="M25" s="4"/>
      <c r="N25" s="9"/>
    </row>
    <row r="26" spans="1:14" ht="15" customHeight="1" x14ac:dyDescent="0.25">
      <c r="A26" s="19" t="s">
        <v>78</v>
      </c>
      <c r="B26" s="13" t="s">
        <v>85</v>
      </c>
      <c r="C26" s="13" t="s">
        <v>89</v>
      </c>
      <c r="D26" s="30" t="s">
        <v>88</v>
      </c>
      <c r="E26" s="14" t="s">
        <v>32</v>
      </c>
      <c r="F26" s="14"/>
      <c r="G26" s="15"/>
      <c r="H26" s="15"/>
      <c r="I26" s="15"/>
      <c r="J26" s="16"/>
      <c r="K26" s="20"/>
      <c r="M26" s="4"/>
      <c r="N26" s="9"/>
    </row>
    <row r="27" spans="1:14" ht="15" customHeight="1" x14ac:dyDescent="0.25">
      <c r="A27" s="19" t="s">
        <v>79</v>
      </c>
      <c r="B27" s="13" t="s">
        <v>85</v>
      </c>
      <c r="C27" s="13" t="s">
        <v>89</v>
      </c>
      <c r="D27" s="30" t="s">
        <v>25</v>
      </c>
      <c r="E27" s="14" t="s">
        <v>32</v>
      </c>
      <c r="F27" s="14"/>
      <c r="G27" s="15"/>
      <c r="H27" s="15"/>
      <c r="I27" s="15"/>
      <c r="J27" s="16"/>
      <c r="K27" s="20"/>
      <c r="M27" s="4"/>
      <c r="N27" s="9"/>
    </row>
    <row r="28" spans="1:14" ht="15" customHeight="1" x14ac:dyDescent="0.25">
      <c r="A28" s="19" t="s">
        <v>80</v>
      </c>
      <c r="B28" s="13" t="s">
        <v>85</v>
      </c>
      <c r="C28" s="13" t="s">
        <v>48</v>
      </c>
      <c r="D28" s="30" t="s">
        <v>88</v>
      </c>
      <c r="E28" s="14" t="s">
        <v>32</v>
      </c>
      <c r="F28" s="14"/>
      <c r="G28" s="15"/>
      <c r="H28" s="14" t="s">
        <v>32</v>
      </c>
      <c r="I28" s="15"/>
      <c r="J28" s="16"/>
      <c r="K28" s="20"/>
      <c r="M28" s="4"/>
      <c r="N28" s="9"/>
    </row>
    <row r="29" spans="1:14" ht="15" customHeight="1" x14ac:dyDescent="0.25">
      <c r="A29" s="19" t="s">
        <v>81</v>
      </c>
      <c r="B29" s="13" t="s">
        <v>85</v>
      </c>
      <c r="C29" s="13" t="s">
        <v>48</v>
      </c>
      <c r="D29" s="30" t="s">
        <v>47</v>
      </c>
      <c r="E29" s="14" t="s">
        <v>32</v>
      </c>
      <c r="F29" s="14"/>
      <c r="G29" s="15"/>
      <c r="H29" s="14" t="s">
        <v>32</v>
      </c>
      <c r="I29" s="15"/>
      <c r="J29" s="16"/>
      <c r="K29" s="20"/>
      <c r="M29" s="4"/>
      <c r="N29" s="9"/>
    </row>
    <row r="30" spans="1:14" ht="15" customHeight="1" x14ac:dyDescent="0.25">
      <c r="A30" s="19" t="s">
        <v>82</v>
      </c>
      <c r="B30" s="13" t="s">
        <v>85</v>
      </c>
      <c r="C30" s="13" t="s">
        <v>89</v>
      </c>
      <c r="D30" s="30" t="s">
        <v>25</v>
      </c>
      <c r="E30" s="14" t="s">
        <v>32</v>
      </c>
      <c r="F30" s="14"/>
      <c r="G30" s="15"/>
      <c r="H30" s="15"/>
      <c r="I30" s="14" t="s">
        <v>32</v>
      </c>
      <c r="J30" s="16"/>
      <c r="K30" s="20"/>
      <c r="M30" s="4"/>
      <c r="N30" s="9"/>
    </row>
    <row r="31" spans="1:14" ht="15" customHeight="1" x14ac:dyDescent="0.25">
      <c r="A31" s="19" t="s">
        <v>83</v>
      </c>
      <c r="B31" s="13" t="s">
        <v>85</v>
      </c>
      <c r="C31" s="13" t="s">
        <v>89</v>
      </c>
      <c r="D31" s="30" t="s">
        <v>47</v>
      </c>
      <c r="E31" s="14"/>
      <c r="F31" s="14"/>
      <c r="G31" s="15"/>
      <c r="H31" s="14" t="s">
        <v>32</v>
      </c>
      <c r="I31" s="14" t="s">
        <v>32</v>
      </c>
      <c r="J31" s="16"/>
      <c r="K31" s="20"/>
      <c r="M31" s="4"/>
      <c r="N31" s="9"/>
    </row>
    <row r="32" spans="1:14" ht="15" customHeight="1" thickBot="1" x14ac:dyDescent="0.3">
      <c r="A32" s="22" t="s">
        <v>84</v>
      </c>
      <c r="B32" s="13" t="s">
        <v>85</v>
      </c>
      <c r="C32" s="13" t="s">
        <v>89</v>
      </c>
      <c r="D32" s="30" t="s">
        <v>25</v>
      </c>
      <c r="E32" s="14"/>
      <c r="F32" s="23"/>
      <c r="G32" s="24"/>
      <c r="H32" s="14" t="s">
        <v>32</v>
      </c>
      <c r="I32" s="14" t="s">
        <v>32</v>
      </c>
      <c r="J32" s="25"/>
      <c r="K32" s="26"/>
      <c r="M32" s="4"/>
      <c r="N32" s="9"/>
    </row>
    <row r="34" spans="1:9" x14ac:dyDescent="0.25">
      <c r="A34" s="12" t="s">
        <v>5</v>
      </c>
      <c r="B34" s="10" t="s">
        <v>0</v>
      </c>
      <c r="C34" s="10" t="s">
        <v>1</v>
      </c>
      <c r="D34" s="11" t="s">
        <v>2</v>
      </c>
      <c r="E34" s="11" t="s">
        <v>3</v>
      </c>
      <c r="F34" s="11" t="s">
        <v>4</v>
      </c>
    </row>
    <row r="35" spans="1:9" x14ac:dyDescent="0.25">
      <c r="A35" t="s">
        <v>53</v>
      </c>
      <c r="B35" s="3">
        <v>9</v>
      </c>
      <c r="C35" s="3">
        <v>9</v>
      </c>
      <c r="D35" s="2">
        <v>9</v>
      </c>
      <c r="E35" s="2">
        <v>9</v>
      </c>
      <c r="F35" s="2">
        <v>9</v>
      </c>
    </row>
    <row r="36" spans="1:9" x14ac:dyDescent="0.25">
      <c r="A36" t="s">
        <v>66</v>
      </c>
      <c r="B36" s="3">
        <v>9</v>
      </c>
      <c r="C36" s="3">
        <v>8</v>
      </c>
      <c r="D36" s="2">
        <v>9</v>
      </c>
      <c r="E36" s="2">
        <v>8</v>
      </c>
      <c r="F36" s="2">
        <v>8</v>
      </c>
    </row>
    <row r="37" spans="1:9" x14ac:dyDescent="0.25">
      <c r="A37" t="s">
        <v>55</v>
      </c>
      <c r="B37" s="3">
        <v>9</v>
      </c>
      <c r="C37" s="3">
        <v>9</v>
      </c>
      <c r="D37" s="2">
        <v>8</v>
      </c>
      <c r="E37" s="2">
        <v>9</v>
      </c>
      <c r="F37" s="2">
        <v>9</v>
      </c>
    </row>
    <row r="38" spans="1:9" ht="15" customHeight="1" x14ac:dyDescent="0.25">
      <c r="A38" t="s">
        <v>56</v>
      </c>
      <c r="B38" s="3">
        <v>8</v>
      </c>
      <c r="C38" s="3">
        <v>9</v>
      </c>
      <c r="D38" s="2">
        <v>9</v>
      </c>
      <c r="E38" s="2">
        <v>8</v>
      </c>
      <c r="F38" s="2">
        <v>8</v>
      </c>
    </row>
    <row r="39" spans="1:9" x14ac:dyDescent="0.25">
      <c r="A39" t="s">
        <v>57</v>
      </c>
      <c r="B39" s="3">
        <v>8</v>
      </c>
      <c r="C39" s="3">
        <v>7</v>
      </c>
      <c r="D39" s="2">
        <v>6</v>
      </c>
      <c r="E39" s="2">
        <v>9</v>
      </c>
      <c r="F39" s="2">
        <v>6</v>
      </c>
    </row>
    <row r="40" spans="1:9" x14ac:dyDescent="0.25">
      <c r="A40" t="s">
        <v>58</v>
      </c>
      <c r="B40" s="3">
        <v>8</v>
      </c>
      <c r="C40" s="3">
        <v>9</v>
      </c>
      <c r="D40" s="2">
        <v>7</v>
      </c>
      <c r="E40" s="2">
        <v>7</v>
      </c>
      <c r="F40" s="2">
        <v>8</v>
      </c>
    </row>
    <row r="41" spans="1:9" x14ac:dyDescent="0.25">
      <c r="A41" t="s">
        <v>59</v>
      </c>
      <c r="B41" s="3">
        <v>8</v>
      </c>
      <c r="C41" s="3">
        <v>8</v>
      </c>
      <c r="D41" s="2">
        <v>8</v>
      </c>
      <c r="E41" s="2">
        <v>8</v>
      </c>
      <c r="F41" s="2">
        <v>8</v>
      </c>
      <c r="G41" s="37"/>
      <c r="H41" s="12"/>
      <c r="I41" s="12"/>
    </row>
    <row r="42" spans="1:9" x14ac:dyDescent="0.25">
      <c r="A42" t="s">
        <v>60</v>
      </c>
      <c r="B42" s="3">
        <v>8</v>
      </c>
      <c r="C42" s="3">
        <v>9</v>
      </c>
      <c r="D42" s="2">
        <v>7</v>
      </c>
      <c r="E42" s="2">
        <v>7</v>
      </c>
      <c r="F42" s="2">
        <v>7</v>
      </c>
      <c r="G42" s="37"/>
      <c r="H42" s="12"/>
      <c r="I42" s="12"/>
    </row>
    <row r="43" spans="1:9" x14ac:dyDescent="0.25">
      <c r="A43" t="s">
        <v>61</v>
      </c>
      <c r="B43" s="3">
        <v>8</v>
      </c>
      <c r="C43" s="3">
        <v>9</v>
      </c>
      <c r="D43" s="2">
        <v>8</v>
      </c>
      <c r="E43" s="2">
        <v>9</v>
      </c>
      <c r="F43" s="2">
        <v>7</v>
      </c>
      <c r="G43" s="37"/>
      <c r="H43" s="12"/>
      <c r="I43" s="12"/>
    </row>
    <row r="44" spans="1:9" x14ac:dyDescent="0.25">
      <c r="A44" t="s">
        <v>62</v>
      </c>
      <c r="B44" s="3">
        <v>9</v>
      </c>
      <c r="C44" s="3">
        <v>8</v>
      </c>
      <c r="D44" s="2">
        <v>8</v>
      </c>
      <c r="E44" s="2">
        <v>8</v>
      </c>
      <c r="F44" s="2">
        <v>8</v>
      </c>
      <c r="G44" s="37"/>
      <c r="H44" s="12"/>
      <c r="I44" s="12"/>
    </row>
    <row r="45" spans="1:9" x14ac:dyDescent="0.25">
      <c r="A45" t="s">
        <v>63</v>
      </c>
      <c r="B45" s="3">
        <v>9</v>
      </c>
      <c r="C45" s="3">
        <v>9</v>
      </c>
      <c r="D45" s="2">
        <v>9</v>
      </c>
      <c r="E45" s="2">
        <v>9</v>
      </c>
      <c r="F45" s="2">
        <v>8</v>
      </c>
      <c r="G45" s="37"/>
      <c r="H45" s="12"/>
      <c r="I45" s="12"/>
    </row>
    <row r="46" spans="1:9" x14ac:dyDescent="0.25">
      <c r="A46" t="s">
        <v>64</v>
      </c>
      <c r="B46" s="3">
        <v>8</v>
      </c>
      <c r="C46" s="3">
        <v>8</v>
      </c>
      <c r="D46" s="2">
        <v>8</v>
      </c>
      <c r="E46" s="2">
        <v>8</v>
      </c>
      <c r="F46" s="2">
        <v>5</v>
      </c>
      <c r="G46" s="37"/>
      <c r="H46" s="12"/>
      <c r="I46" s="12"/>
    </row>
    <row r="47" spans="1:9" x14ac:dyDescent="0.25">
      <c r="A47" t="s">
        <v>65</v>
      </c>
      <c r="B47" s="3">
        <v>7</v>
      </c>
      <c r="C47" s="3">
        <v>8</v>
      </c>
      <c r="D47" s="2">
        <v>7</v>
      </c>
      <c r="E47" s="2">
        <v>8</v>
      </c>
      <c r="F47" s="2">
        <v>8</v>
      </c>
      <c r="G47" s="37"/>
      <c r="H47" s="12"/>
      <c r="I47" s="12"/>
    </row>
    <row r="48" spans="1:9" x14ac:dyDescent="0.25">
      <c r="A48" t="s">
        <v>68</v>
      </c>
      <c r="B48" s="3">
        <v>8</v>
      </c>
      <c r="C48" s="3">
        <v>9</v>
      </c>
      <c r="D48" s="2">
        <v>9</v>
      </c>
      <c r="E48" s="2">
        <v>8</v>
      </c>
      <c r="F48" s="2">
        <v>8</v>
      </c>
      <c r="G48" s="37"/>
      <c r="H48" s="12"/>
      <c r="I48" s="12"/>
    </row>
    <row r="49" spans="1:9" x14ac:dyDescent="0.25">
      <c r="A49" t="s">
        <v>69</v>
      </c>
      <c r="B49" s="3">
        <v>8</v>
      </c>
      <c r="C49" s="3">
        <v>7</v>
      </c>
      <c r="D49" s="2">
        <v>8</v>
      </c>
      <c r="E49" s="2">
        <v>9</v>
      </c>
      <c r="F49" s="2">
        <v>7</v>
      </c>
      <c r="G49" s="37"/>
      <c r="H49" s="12"/>
      <c r="I49" s="12"/>
    </row>
    <row r="50" spans="1:9" x14ac:dyDescent="0.25">
      <c r="A50" t="s">
        <v>70</v>
      </c>
      <c r="B50" s="3">
        <v>6</v>
      </c>
      <c r="C50" s="3">
        <v>6</v>
      </c>
      <c r="D50" s="2">
        <v>6</v>
      </c>
      <c r="E50" s="2">
        <v>6</v>
      </c>
      <c r="F50" s="2">
        <v>6</v>
      </c>
      <c r="G50" s="37"/>
      <c r="H50" s="12"/>
      <c r="I50" s="12"/>
    </row>
    <row r="51" spans="1:9" x14ac:dyDescent="0.25">
      <c r="A51" t="s">
        <v>71</v>
      </c>
      <c r="B51" s="3">
        <v>6</v>
      </c>
      <c r="C51" s="3">
        <v>7</v>
      </c>
      <c r="D51" s="2">
        <v>7</v>
      </c>
      <c r="E51" s="2">
        <v>5</v>
      </c>
      <c r="F51" s="2">
        <v>7</v>
      </c>
      <c r="G51" s="37"/>
      <c r="H51" s="12"/>
      <c r="I51" s="12"/>
    </row>
    <row r="52" spans="1:9" x14ac:dyDescent="0.25">
      <c r="A52" t="s">
        <v>72</v>
      </c>
      <c r="B52" s="3">
        <v>9</v>
      </c>
      <c r="C52" s="3">
        <v>8</v>
      </c>
      <c r="D52" s="2">
        <v>8</v>
      </c>
      <c r="E52" s="2">
        <v>8</v>
      </c>
      <c r="F52" s="2">
        <v>6</v>
      </c>
      <c r="G52" s="37"/>
      <c r="H52" s="12"/>
      <c r="I52" s="12"/>
    </row>
    <row r="53" spans="1:9" x14ac:dyDescent="0.25">
      <c r="A53" t="s">
        <v>73</v>
      </c>
      <c r="B53" s="3">
        <v>9</v>
      </c>
      <c r="C53" s="3">
        <v>9</v>
      </c>
      <c r="D53" s="2">
        <v>8</v>
      </c>
      <c r="E53" s="2">
        <v>7</v>
      </c>
      <c r="F53" s="2">
        <v>8</v>
      </c>
      <c r="G53" s="37"/>
      <c r="H53" s="12"/>
      <c r="I53" s="12"/>
    </row>
    <row r="54" spans="1:9" x14ac:dyDescent="0.25">
      <c r="A54" t="s">
        <v>74</v>
      </c>
      <c r="B54" s="3">
        <v>8</v>
      </c>
      <c r="C54" s="3">
        <v>7</v>
      </c>
      <c r="D54" s="2">
        <v>9</v>
      </c>
      <c r="E54" s="2">
        <v>7</v>
      </c>
      <c r="F54" s="2">
        <v>9</v>
      </c>
      <c r="G54" s="37"/>
      <c r="H54" s="12"/>
      <c r="I54" s="12"/>
    </row>
    <row r="55" spans="1:9" x14ac:dyDescent="0.25">
      <c r="A55" t="s">
        <v>75</v>
      </c>
      <c r="B55" s="3">
        <v>5</v>
      </c>
      <c r="C55" s="3">
        <v>7</v>
      </c>
      <c r="D55" s="2">
        <v>7</v>
      </c>
      <c r="E55" s="2">
        <v>5</v>
      </c>
      <c r="F55" s="2">
        <v>6</v>
      </c>
      <c r="G55" s="37"/>
      <c r="H55" s="12"/>
      <c r="I55" s="12"/>
    </row>
    <row r="56" spans="1:9" x14ac:dyDescent="0.25">
      <c r="A56" t="s">
        <v>76</v>
      </c>
      <c r="B56" s="3">
        <v>8</v>
      </c>
      <c r="C56" s="3">
        <v>7</v>
      </c>
      <c r="D56" s="2">
        <v>9</v>
      </c>
      <c r="E56" s="2">
        <v>8</v>
      </c>
      <c r="F56" s="2">
        <v>6</v>
      </c>
      <c r="G56" s="37"/>
      <c r="H56" s="12"/>
      <c r="I56" s="12"/>
    </row>
    <row r="57" spans="1:9" x14ac:dyDescent="0.25">
      <c r="A57" t="s">
        <v>77</v>
      </c>
      <c r="B57" s="3">
        <v>8</v>
      </c>
      <c r="C57" s="3">
        <v>7</v>
      </c>
      <c r="D57" s="2">
        <v>9</v>
      </c>
      <c r="E57" s="2">
        <v>8</v>
      </c>
      <c r="F57" s="2">
        <v>7</v>
      </c>
      <c r="G57" s="37"/>
      <c r="H57" s="12"/>
      <c r="I57" s="12"/>
    </row>
    <row r="58" spans="1:9" x14ac:dyDescent="0.25">
      <c r="A58" t="s">
        <v>78</v>
      </c>
      <c r="B58" s="3">
        <v>9</v>
      </c>
      <c r="C58" s="3">
        <v>9</v>
      </c>
      <c r="D58" s="2">
        <v>9</v>
      </c>
      <c r="E58" s="2">
        <v>8</v>
      </c>
      <c r="F58" s="2">
        <v>8</v>
      </c>
      <c r="G58" s="37"/>
      <c r="H58" s="12"/>
      <c r="I58" s="12"/>
    </row>
    <row r="59" spans="1:9" x14ac:dyDescent="0.25">
      <c r="A59" t="s">
        <v>79</v>
      </c>
      <c r="B59" s="3">
        <v>8</v>
      </c>
      <c r="C59" s="3">
        <v>9</v>
      </c>
      <c r="D59" s="2">
        <v>8</v>
      </c>
      <c r="E59" s="2">
        <v>8</v>
      </c>
      <c r="F59" s="2">
        <v>8</v>
      </c>
      <c r="G59" s="37"/>
      <c r="H59" s="12"/>
      <c r="I59" s="12"/>
    </row>
    <row r="60" spans="1:9" x14ac:dyDescent="0.25">
      <c r="A60" t="s">
        <v>80</v>
      </c>
      <c r="B60" s="3">
        <v>9</v>
      </c>
      <c r="C60" s="3">
        <v>8</v>
      </c>
      <c r="D60" s="2">
        <v>9</v>
      </c>
      <c r="E60" s="2">
        <v>8</v>
      </c>
      <c r="F60" s="2">
        <v>7</v>
      </c>
      <c r="G60" s="37"/>
      <c r="H60" s="12"/>
      <c r="I60" s="12"/>
    </row>
    <row r="61" spans="1:9" x14ac:dyDescent="0.25">
      <c r="A61" t="s">
        <v>81</v>
      </c>
      <c r="B61" s="3">
        <v>9</v>
      </c>
      <c r="C61" s="3">
        <v>8</v>
      </c>
      <c r="D61" s="2">
        <v>9</v>
      </c>
      <c r="E61" s="2">
        <v>9</v>
      </c>
      <c r="F61" s="2">
        <v>8</v>
      </c>
      <c r="G61" s="37"/>
      <c r="H61" s="12"/>
      <c r="I61" s="12"/>
    </row>
    <row r="62" spans="1:9" ht="15.75" thickBot="1" x14ac:dyDescent="0.3">
      <c r="A62" t="s">
        <v>82</v>
      </c>
      <c r="B62" s="3">
        <v>9</v>
      </c>
      <c r="C62" s="3">
        <v>8</v>
      </c>
      <c r="D62" s="2">
        <v>7</v>
      </c>
      <c r="E62" s="2">
        <v>9</v>
      </c>
      <c r="F62" s="2">
        <v>8</v>
      </c>
      <c r="G62" s="37"/>
      <c r="H62" s="12"/>
      <c r="I62" s="12"/>
    </row>
    <row r="63" spans="1:9" x14ac:dyDescent="0.25">
      <c r="A63" t="s">
        <v>83</v>
      </c>
      <c r="B63" s="3">
        <v>9</v>
      </c>
      <c r="C63" s="3">
        <v>8</v>
      </c>
      <c r="D63" s="2">
        <v>8</v>
      </c>
      <c r="E63" s="2">
        <v>9</v>
      </c>
      <c r="F63" s="2">
        <v>7</v>
      </c>
      <c r="G63" s="41" t="s">
        <v>90</v>
      </c>
      <c r="H63" s="41" t="s">
        <v>92</v>
      </c>
      <c r="I63" s="43" t="s">
        <v>91</v>
      </c>
    </row>
    <row r="64" spans="1:9" ht="15.75" thickBot="1" x14ac:dyDescent="0.3">
      <c r="A64" t="s">
        <v>84</v>
      </c>
      <c r="B64" s="3">
        <v>9</v>
      </c>
      <c r="C64" s="3">
        <v>7</v>
      </c>
      <c r="D64" s="2">
        <v>8</v>
      </c>
      <c r="E64" s="2">
        <v>8</v>
      </c>
      <c r="F64" s="2">
        <v>7</v>
      </c>
      <c r="G64" s="42"/>
      <c r="H64" s="42"/>
      <c r="I64" s="44"/>
    </row>
    <row r="65" spans="1:9" ht="15.75" thickBot="1" x14ac:dyDescent="0.3">
      <c r="B65" s="31">
        <f>SUM(B35:B64)</f>
        <v>245</v>
      </c>
      <c r="C65" s="31">
        <f>SUM(C35:C64)</f>
        <v>241</v>
      </c>
      <c r="D65" s="34">
        <f>SUM(D35:D64)</f>
        <v>241</v>
      </c>
      <c r="E65" s="34">
        <f>SUM(E35:E64)</f>
        <v>237</v>
      </c>
      <c r="F65" s="32">
        <f>SUM(F35:F64)</f>
        <v>222</v>
      </c>
      <c r="G65" s="38">
        <f>SUM(B65:F65)</f>
        <v>1186</v>
      </c>
      <c r="H65" s="39">
        <v>270</v>
      </c>
      <c r="I65" s="40">
        <v>1350</v>
      </c>
    </row>
    <row r="67" spans="1:9" x14ac:dyDescent="0.25">
      <c r="A67" s="12" t="s">
        <v>6</v>
      </c>
      <c r="B67" s="10" t="s">
        <v>7</v>
      </c>
      <c r="C67" s="10" t="s">
        <v>8</v>
      </c>
      <c r="D67" s="11" t="s">
        <v>9</v>
      </c>
      <c r="E67" s="11" t="s">
        <v>10</v>
      </c>
      <c r="F67" s="11" t="s">
        <v>11</v>
      </c>
    </row>
    <row r="68" spans="1:9" x14ac:dyDescent="0.25">
      <c r="A68" t="s">
        <v>53</v>
      </c>
      <c r="B68" s="3">
        <v>9</v>
      </c>
      <c r="C68" s="3">
        <v>9</v>
      </c>
      <c r="D68" s="2">
        <v>9</v>
      </c>
      <c r="E68" s="2">
        <v>9</v>
      </c>
      <c r="F68" s="2">
        <v>9</v>
      </c>
    </row>
    <row r="69" spans="1:9" x14ac:dyDescent="0.25">
      <c r="A69" t="s">
        <v>66</v>
      </c>
      <c r="B69" s="3">
        <v>9</v>
      </c>
      <c r="C69" s="3">
        <v>8</v>
      </c>
      <c r="D69" s="2">
        <v>8</v>
      </c>
      <c r="E69" s="2">
        <v>9</v>
      </c>
      <c r="F69" s="2">
        <v>8</v>
      </c>
    </row>
    <row r="70" spans="1:9" x14ac:dyDescent="0.25">
      <c r="A70" t="s">
        <v>55</v>
      </c>
      <c r="B70" s="3">
        <v>8</v>
      </c>
      <c r="C70" s="3">
        <v>8</v>
      </c>
      <c r="D70" s="2">
        <v>8</v>
      </c>
      <c r="E70" s="2">
        <v>9</v>
      </c>
      <c r="F70" s="2">
        <v>8</v>
      </c>
    </row>
    <row r="71" spans="1:9" x14ac:dyDescent="0.25">
      <c r="A71" t="s">
        <v>56</v>
      </c>
      <c r="B71" s="3">
        <v>8</v>
      </c>
      <c r="C71" s="3">
        <v>8</v>
      </c>
      <c r="D71" s="2">
        <v>7</v>
      </c>
      <c r="E71" s="2">
        <v>8</v>
      </c>
      <c r="F71" s="2">
        <v>8</v>
      </c>
    </row>
    <row r="72" spans="1:9" x14ac:dyDescent="0.25">
      <c r="A72" t="s">
        <v>57</v>
      </c>
      <c r="B72" s="3">
        <v>5</v>
      </c>
      <c r="C72" s="3">
        <v>5</v>
      </c>
      <c r="D72" s="2">
        <v>5</v>
      </c>
      <c r="E72" s="2">
        <v>7</v>
      </c>
      <c r="F72" s="2">
        <v>5</v>
      </c>
    </row>
    <row r="73" spans="1:9" x14ac:dyDescent="0.25">
      <c r="A73" t="s">
        <v>58</v>
      </c>
      <c r="B73" s="3">
        <v>7</v>
      </c>
      <c r="C73" s="3">
        <v>7</v>
      </c>
      <c r="D73" s="2">
        <v>7</v>
      </c>
      <c r="E73" s="2">
        <v>8</v>
      </c>
      <c r="F73" s="2">
        <v>7</v>
      </c>
    </row>
    <row r="74" spans="1:9" x14ac:dyDescent="0.25">
      <c r="A74" t="s">
        <v>59</v>
      </c>
      <c r="B74" s="3">
        <v>8</v>
      </c>
      <c r="C74" s="3">
        <v>8</v>
      </c>
      <c r="D74" s="2">
        <v>7</v>
      </c>
      <c r="E74" s="2">
        <v>8</v>
      </c>
      <c r="F74" s="2">
        <v>8</v>
      </c>
      <c r="G74" s="37"/>
      <c r="H74" s="12"/>
      <c r="I74" s="12"/>
    </row>
    <row r="75" spans="1:9" x14ac:dyDescent="0.25">
      <c r="A75" t="s">
        <v>60</v>
      </c>
      <c r="B75" s="3">
        <v>8</v>
      </c>
      <c r="C75" s="3">
        <v>7</v>
      </c>
      <c r="D75" s="2">
        <v>8</v>
      </c>
      <c r="E75" s="2">
        <v>6</v>
      </c>
      <c r="F75" s="2">
        <v>7</v>
      </c>
      <c r="G75" s="37"/>
      <c r="H75" s="12"/>
      <c r="I75" s="12"/>
    </row>
    <row r="76" spans="1:9" x14ac:dyDescent="0.25">
      <c r="A76" t="s">
        <v>61</v>
      </c>
      <c r="B76" s="3">
        <v>8</v>
      </c>
      <c r="C76" s="3">
        <v>8</v>
      </c>
      <c r="D76" s="2">
        <v>8</v>
      </c>
      <c r="E76" s="2">
        <v>7</v>
      </c>
      <c r="F76" s="2">
        <v>7</v>
      </c>
      <c r="G76" s="37"/>
      <c r="H76" s="12"/>
      <c r="I76" s="12"/>
    </row>
    <row r="77" spans="1:9" x14ac:dyDescent="0.25">
      <c r="A77" t="s">
        <v>62</v>
      </c>
      <c r="B77" s="3">
        <v>7</v>
      </c>
      <c r="C77" s="3">
        <v>7</v>
      </c>
      <c r="D77" s="2">
        <v>7</v>
      </c>
      <c r="E77" s="2">
        <v>9</v>
      </c>
      <c r="F77" s="2">
        <v>8</v>
      </c>
      <c r="G77" s="37"/>
      <c r="H77" s="12"/>
      <c r="I77" s="12"/>
    </row>
    <row r="78" spans="1:9" x14ac:dyDescent="0.25">
      <c r="A78" t="s">
        <v>63</v>
      </c>
      <c r="B78" s="3">
        <v>8</v>
      </c>
      <c r="C78" s="3">
        <v>8</v>
      </c>
      <c r="D78" s="2">
        <v>8</v>
      </c>
      <c r="E78" s="2">
        <v>9</v>
      </c>
      <c r="F78" s="2">
        <v>8</v>
      </c>
      <c r="G78" s="37"/>
      <c r="H78" s="12"/>
      <c r="I78" s="12"/>
    </row>
    <row r="79" spans="1:9" x14ac:dyDescent="0.25">
      <c r="A79" t="s">
        <v>64</v>
      </c>
      <c r="B79" s="3">
        <v>8</v>
      </c>
      <c r="C79" s="3">
        <v>8</v>
      </c>
      <c r="D79" s="2">
        <v>7</v>
      </c>
      <c r="E79" s="2">
        <v>7</v>
      </c>
      <c r="F79" s="2">
        <v>7</v>
      </c>
      <c r="G79" s="37"/>
      <c r="H79" s="12"/>
      <c r="I79" s="12"/>
    </row>
    <row r="80" spans="1:9" x14ac:dyDescent="0.25">
      <c r="A80" t="s">
        <v>65</v>
      </c>
      <c r="B80" s="3">
        <v>7</v>
      </c>
      <c r="C80" s="3">
        <v>8</v>
      </c>
      <c r="D80" s="2">
        <v>8</v>
      </c>
      <c r="E80" s="2">
        <v>7</v>
      </c>
      <c r="F80" s="2">
        <v>8</v>
      </c>
      <c r="G80" s="37"/>
      <c r="H80" s="12"/>
      <c r="I80" s="12"/>
    </row>
    <row r="81" spans="1:9" x14ac:dyDescent="0.25">
      <c r="A81" t="s">
        <v>68</v>
      </c>
      <c r="B81" s="3">
        <v>8</v>
      </c>
      <c r="C81" s="3">
        <v>8</v>
      </c>
      <c r="D81" s="2">
        <v>8</v>
      </c>
      <c r="E81" s="2">
        <v>9</v>
      </c>
      <c r="F81" s="2">
        <v>8</v>
      </c>
      <c r="G81" s="37"/>
      <c r="H81" s="12"/>
      <c r="I81" s="12"/>
    </row>
    <row r="82" spans="1:9" x14ac:dyDescent="0.25">
      <c r="A82" t="s">
        <v>69</v>
      </c>
      <c r="B82" s="3">
        <v>9</v>
      </c>
      <c r="C82" s="3">
        <v>9</v>
      </c>
      <c r="D82" s="2">
        <v>7</v>
      </c>
      <c r="E82" s="2">
        <v>7</v>
      </c>
      <c r="F82" s="2">
        <v>5</v>
      </c>
      <c r="G82" s="37"/>
      <c r="H82" s="12"/>
      <c r="I82" s="12"/>
    </row>
    <row r="83" spans="1:9" x14ac:dyDescent="0.25">
      <c r="A83" t="s">
        <v>70</v>
      </c>
      <c r="B83" s="3">
        <v>6</v>
      </c>
      <c r="C83" s="3">
        <v>6</v>
      </c>
      <c r="D83" s="2">
        <v>6</v>
      </c>
      <c r="E83" s="2">
        <v>6</v>
      </c>
      <c r="F83" s="2">
        <v>6</v>
      </c>
      <c r="G83" s="37"/>
      <c r="H83" s="12"/>
      <c r="I83" s="12"/>
    </row>
    <row r="84" spans="1:9" x14ac:dyDescent="0.25">
      <c r="A84" t="s">
        <v>71</v>
      </c>
      <c r="B84" s="3">
        <v>9</v>
      </c>
      <c r="C84" s="3">
        <v>8</v>
      </c>
      <c r="D84" s="2">
        <v>6</v>
      </c>
      <c r="E84" s="2">
        <v>8</v>
      </c>
      <c r="F84" s="2">
        <v>9</v>
      </c>
      <c r="G84" s="37"/>
      <c r="H84" s="12"/>
      <c r="I84" s="12"/>
    </row>
    <row r="85" spans="1:9" x14ac:dyDescent="0.25">
      <c r="A85" t="s">
        <v>72</v>
      </c>
      <c r="B85" s="3">
        <v>9</v>
      </c>
      <c r="C85" s="3">
        <v>9</v>
      </c>
      <c r="D85" s="2">
        <v>7</v>
      </c>
      <c r="E85" s="2">
        <v>8</v>
      </c>
      <c r="F85" s="2">
        <v>7</v>
      </c>
      <c r="G85" s="37"/>
      <c r="H85" s="12"/>
      <c r="I85" s="12"/>
    </row>
    <row r="86" spans="1:9" x14ac:dyDescent="0.25">
      <c r="A86" t="s">
        <v>73</v>
      </c>
      <c r="B86" s="3">
        <v>8</v>
      </c>
      <c r="C86" s="3">
        <v>9</v>
      </c>
      <c r="D86" s="2">
        <v>8</v>
      </c>
      <c r="E86" s="2">
        <v>6</v>
      </c>
      <c r="F86" s="2">
        <v>5</v>
      </c>
      <c r="G86" s="37"/>
      <c r="H86" s="12"/>
      <c r="I86" s="12"/>
    </row>
    <row r="87" spans="1:9" x14ac:dyDescent="0.25">
      <c r="A87" t="s">
        <v>74</v>
      </c>
      <c r="B87" s="3">
        <v>8</v>
      </c>
      <c r="C87" s="3">
        <v>9</v>
      </c>
      <c r="D87" s="2">
        <v>9</v>
      </c>
      <c r="E87" s="2">
        <v>8</v>
      </c>
      <c r="F87" s="2">
        <v>7</v>
      </c>
      <c r="G87" s="37"/>
      <c r="H87" s="12"/>
      <c r="I87" s="12"/>
    </row>
    <row r="88" spans="1:9" x14ac:dyDescent="0.25">
      <c r="A88" t="s">
        <v>75</v>
      </c>
      <c r="B88" s="3">
        <v>7</v>
      </c>
      <c r="C88" s="3">
        <v>7</v>
      </c>
      <c r="D88" s="2">
        <v>6</v>
      </c>
      <c r="E88" s="2">
        <v>6</v>
      </c>
      <c r="F88" s="2">
        <v>7</v>
      </c>
      <c r="G88" s="37"/>
      <c r="H88" s="12"/>
      <c r="I88" s="12"/>
    </row>
    <row r="89" spans="1:9" x14ac:dyDescent="0.25">
      <c r="A89" t="s">
        <v>76</v>
      </c>
      <c r="B89" s="3">
        <v>7</v>
      </c>
      <c r="C89" s="3">
        <v>8</v>
      </c>
      <c r="D89" s="2">
        <v>7</v>
      </c>
      <c r="E89" s="2">
        <v>9</v>
      </c>
      <c r="F89" s="2">
        <v>7</v>
      </c>
      <c r="G89" s="37"/>
      <c r="H89" s="12"/>
      <c r="I89" s="12"/>
    </row>
    <row r="90" spans="1:9" x14ac:dyDescent="0.25">
      <c r="A90" t="s">
        <v>77</v>
      </c>
      <c r="B90" s="3">
        <v>7</v>
      </c>
      <c r="C90" s="3">
        <v>8</v>
      </c>
      <c r="D90" s="2">
        <v>8</v>
      </c>
      <c r="E90" s="2">
        <v>9</v>
      </c>
      <c r="F90" s="2">
        <v>7</v>
      </c>
      <c r="G90" s="37"/>
      <c r="H90" s="12"/>
      <c r="I90" s="12"/>
    </row>
    <row r="91" spans="1:9" x14ac:dyDescent="0.25">
      <c r="A91" t="s">
        <v>78</v>
      </c>
      <c r="B91" s="3">
        <v>9</v>
      </c>
      <c r="C91" s="3">
        <v>8</v>
      </c>
      <c r="D91" s="2">
        <v>8</v>
      </c>
      <c r="E91" s="2">
        <v>7</v>
      </c>
      <c r="F91" s="2">
        <v>4</v>
      </c>
      <c r="G91" s="37"/>
      <c r="H91" s="12"/>
      <c r="I91" s="12"/>
    </row>
    <row r="92" spans="1:9" x14ac:dyDescent="0.25">
      <c r="A92" t="s">
        <v>79</v>
      </c>
      <c r="B92" s="3">
        <v>8</v>
      </c>
      <c r="C92" s="3">
        <v>8</v>
      </c>
      <c r="D92" s="2">
        <v>8</v>
      </c>
      <c r="E92" s="2">
        <v>8</v>
      </c>
      <c r="F92" s="2">
        <v>8</v>
      </c>
      <c r="G92" s="37"/>
      <c r="H92" s="12"/>
      <c r="I92" s="12"/>
    </row>
    <row r="93" spans="1:9" x14ac:dyDescent="0.25">
      <c r="A93" t="s">
        <v>80</v>
      </c>
      <c r="B93" s="3">
        <v>9</v>
      </c>
      <c r="C93" s="3">
        <v>9</v>
      </c>
      <c r="D93" s="2">
        <v>8</v>
      </c>
      <c r="E93" s="2">
        <v>9</v>
      </c>
      <c r="F93" s="2">
        <v>8</v>
      </c>
      <c r="G93" s="37"/>
      <c r="H93" s="12"/>
      <c r="I93" s="12"/>
    </row>
    <row r="94" spans="1:9" x14ac:dyDescent="0.25">
      <c r="A94" t="s">
        <v>81</v>
      </c>
      <c r="B94" s="3">
        <v>7</v>
      </c>
      <c r="C94" s="3">
        <v>9</v>
      </c>
      <c r="D94" s="2">
        <v>9</v>
      </c>
      <c r="E94" s="2">
        <v>9</v>
      </c>
      <c r="F94" s="2">
        <v>8</v>
      </c>
      <c r="G94" s="37"/>
      <c r="H94" s="12"/>
      <c r="I94" s="12"/>
    </row>
    <row r="95" spans="1:9" ht="15.75" thickBot="1" x14ac:dyDescent="0.3">
      <c r="A95" t="s">
        <v>82</v>
      </c>
      <c r="B95" s="3">
        <v>9</v>
      </c>
      <c r="C95" s="3">
        <v>9</v>
      </c>
      <c r="D95" s="2">
        <v>9</v>
      </c>
      <c r="E95" s="2">
        <v>9</v>
      </c>
      <c r="F95" s="2">
        <v>8</v>
      </c>
      <c r="G95" s="37"/>
      <c r="H95" s="12"/>
      <c r="I95" s="12"/>
    </row>
    <row r="96" spans="1:9" x14ac:dyDescent="0.25">
      <c r="A96" t="s">
        <v>83</v>
      </c>
      <c r="B96" s="3">
        <v>9</v>
      </c>
      <c r="C96" s="3">
        <v>9</v>
      </c>
      <c r="D96" s="2">
        <v>9</v>
      </c>
      <c r="E96" s="2">
        <v>8</v>
      </c>
      <c r="F96" s="2">
        <v>7</v>
      </c>
      <c r="G96" s="41" t="s">
        <v>90</v>
      </c>
      <c r="H96" s="41" t="s">
        <v>92</v>
      </c>
      <c r="I96" s="43" t="s">
        <v>91</v>
      </c>
    </row>
    <row r="97" spans="1:9" ht="15.75" thickBot="1" x14ac:dyDescent="0.3">
      <c r="A97" t="s">
        <v>84</v>
      </c>
      <c r="B97" s="3">
        <v>9</v>
      </c>
      <c r="C97" s="3">
        <v>9</v>
      </c>
      <c r="D97" s="2">
        <v>9</v>
      </c>
      <c r="E97" s="2">
        <v>8</v>
      </c>
      <c r="F97" s="2">
        <v>7</v>
      </c>
      <c r="G97" s="42"/>
      <c r="H97" s="42"/>
      <c r="I97" s="44"/>
    </row>
    <row r="98" spans="1:9" ht="15.75" thickBot="1" x14ac:dyDescent="0.3">
      <c r="B98" s="31">
        <f>SUM(B68:B97)</f>
        <v>238</v>
      </c>
      <c r="C98" s="31">
        <f>SUM(C68:C97)</f>
        <v>241</v>
      </c>
      <c r="D98" s="32">
        <f>SUM(D68:D97)</f>
        <v>229</v>
      </c>
      <c r="E98" s="34">
        <f>SUM(E68:E97)</f>
        <v>237</v>
      </c>
      <c r="F98" s="34">
        <f>SUM(F68:F97)</f>
        <v>216</v>
      </c>
      <c r="G98" s="38">
        <f>SUM(B98:F98)</f>
        <v>1161</v>
      </c>
      <c r="H98" s="39">
        <v>270</v>
      </c>
      <c r="I98" s="40">
        <v>1350</v>
      </c>
    </row>
    <row r="100" spans="1:9" x14ac:dyDescent="0.25">
      <c r="A100" s="12" t="s">
        <v>67</v>
      </c>
      <c r="B100" s="10" t="s">
        <v>7</v>
      </c>
      <c r="C100" s="10" t="s">
        <v>8</v>
      </c>
      <c r="D100" s="11" t="s">
        <v>9</v>
      </c>
      <c r="E100" s="11" t="s">
        <v>10</v>
      </c>
      <c r="F100" s="11" t="s">
        <v>11</v>
      </c>
    </row>
    <row r="101" spans="1:9" x14ac:dyDescent="0.25">
      <c r="A101" t="s">
        <v>53</v>
      </c>
      <c r="B101" s="3">
        <v>9</v>
      </c>
      <c r="C101" s="3">
        <v>9</v>
      </c>
      <c r="D101" s="2">
        <v>9</v>
      </c>
      <c r="E101" s="2">
        <v>9</v>
      </c>
      <c r="F101" s="2">
        <v>9</v>
      </c>
    </row>
    <row r="102" spans="1:9" x14ac:dyDescent="0.25">
      <c r="A102" t="s">
        <v>66</v>
      </c>
      <c r="B102" s="3">
        <v>9</v>
      </c>
      <c r="C102" s="3">
        <v>8</v>
      </c>
      <c r="D102" s="2">
        <v>8</v>
      </c>
      <c r="E102" s="2">
        <v>9</v>
      </c>
      <c r="F102" s="2">
        <v>8</v>
      </c>
    </row>
    <row r="103" spans="1:9" x14ac:dyDescent="0.25">
      <c r="A103" t="s">
        <v>55</v>
      </c>
      <c r="B103" s="3">
        <v>9</v>
      </c>
      <c r="C103" s="3">
        <v>9</v>
      </c>
      <c r="D103" s="2">
        <v>9</v>
      </c>
      <c r="E103" s="2">
        <v>9</v>
      </c>
      <c r="F103" s="2">
        <v>8</v>
      </c>
    </row>
    <row r="104" spans="1:9" x14ac:dyDescent="0.25">
      <c r="A104" t="s">
        <v>56</v>
      </c>
      <c r="B104" s="3">
        <v>9</v>
      </c>
      <c r="C104" s="3">
        <v>9</v>
      </c>
      <c r="D104" s="2">
        <v>8</v>
      </c>
      <c r="E104" s="2">
        <v>9</v>
      </c>
      <c r="F104" s="2">
        <v>9</v>
      </c>
    </row>
    <row r="105" spans="1:9" x14ac:dyDescent="0.25">
      <c r="A105" t="s">
        <v>57</v>
      </c>
      <c r="B105" s="3">
        <v>9</v>
      </c>
      <c r="C105" s="3">
        <v>5</v>
      </c>
      <c r="D105" s="2">
        <v>5</v>
      </c>
      <c r="E105" s="2">
        <v>9</v>
      </c>
      <c r="F105" s="2">
        <v>8</v>
      </c>
    </row>
    <row r="106" spans="1:9" x14ac:dyDescent="0.25">
      <c r="A106" t="s">
        <v>58</v>
      </c>
      <c r="B106" s="3">
        <v>9</v>
      </c>
      <c r="C106" s="3">
        <v>8</v>
      </c>
      <c r="D106" s="2">
        <v>8</v>
      </c>
      <c r="E106" s="2">
        <v>7</v>
      </c>
      <c r="F106" s="2">
        <v>9</v>
      </c>
    </row>
    <row r="107" spans="1:9" x14ac:dyDescent="0.25">
      <c r="A107" t="s">
        <v>59</v>
      </c>
      <c r="B107" s="3">
        <v>8</v>
      </c>
      <c r="C107" s="3">
        <v>8</v>
      </c>
      <c r="D107" s="2">
        <v>8</v>
      </c>
      <c r="E107" s="2">
        <v>7</v>
      </c>
      <c r="F107" s="2">
        <v>8</v>
      </c>
      <c r="G107" s="37"/>
      <c r="H107" s="12"/>
      <c r="I107" s="12"/>
    </row>
    <row r="108" spans="1:9" x14ac:dyDescent="0.25">
      <c r="A108" t="s">
        <v>60</v>
      </c>
      <c r="B108" s="3">
        <v>8</v>
      </c>
      <c r="C108" s="3">
        <v>8</v>
      </c>
      <c r="D108" s="2">
        <v>9</v>
      </c>
      <c r="E108" s="2">
        <v>7</v>
      </c>
      <c r="F108" s="2">
        <v>8</v>
      </c>
      <c r="G108" s="37"/>
      <c r="H108" s="12"/>
      <c r="I108" s="12"/>
    </row>
    <row r="109" spans="1:9" x14ac:dyDescent="0.25">
      <c r="A109" t="s">
        <v>61</v>
      </c>
      <c r="B109" s="3">
        <v>7</v>
      </c>
      <c r="C109" s="3">
        <v>9</v>
      </c>
      <c r="D109" s="2">
        <v>9</v>
      </c>
      <c r="E109" s="2">
        <v>8</v>
      </c>
      <c r="F109" s="2">
        <v>8</v>
      </c>
      <c r="G109" s="37"/>
      <c r="H109" s="12"/>
      <c r="I109" s="12"/>
    </row>
    <row r="110" spans="1:9" x14ac:dyDescent="0.25">
      <c r="A110" t="s">
        <v>62</v>
      </c>
      <c r="B110" s="3">
        <v>9</v>
      </c>
      <c r="C110" s="3">
        <v>9</v>
      </c>
      <c r="D110" s="2">
        <v>8</v>
      </c>
      <c r="E110" s="2">
        <v>8</v>
      </c>
      <c r="F110" s="2">
        <v>8</v>
      </c>
      <c r="G110" s="37"/>
      <c r="H110" s="12"/>
      <c r="I110" s="12"/>
    </row>
    <row r="111" spans="1:9" x14ac:dyDescent="0.25">
      <c r="A111" t="s">
        <v>63</v>
      </c>
      <c r="B111" s="3">
        <v>8</v>
      </c>
      <c r="C111" s="3">
        <v>8</v>
      </c>
      <c r="D111" s="2">
        <v>8</v>
      </c>
      <c r="E111" s="2">
        <v>9</v>
      </c>
      <c r="F111" s="2">
        <v>9</v>
      </c>
      <c r="G111" s="37"/>
      <c r="H111" s="12"/>
      <c r="I111" s="12"/>
    </row>
    <row r="112" spans="1:9" x14ac:dyDescent="0.25">
      <c r="A112" t="s">
        <v>64</v>
      </c>
      <c r="B112" s="3">
        <v>7</v>
      </c>
      <c r="C112" s="3">
        <v>6</v>
      </c>
      <c r="D112" s="2">
        <v>6</v>
      </c>
      <c r="E112" s="2">
        <v>9</v>
      </c>
      <c r="F112" s="2">
        <v>5</v>
      </c>
      <c r="G112" s="37"/>
      <c r="H112" s="12"/>
      <c r="I112" s="12"/>
    </row>
    <row r="113" spans="1:9" x14ac:dyDescent="0.25">
      <c r="A113" t="s">
        <v>65</v>
      </c>
      <c r="B113" s="3">
        <v>7</v>
      </c>
      <c r="C113" s="3">
        <v>8</v>
      </c>
      <c r="D113" s="2">
        <v>8</v>
      </c>
      <c r="E113" s="2">
        <v>7</v>
      </c>
      <c r="F113" s="2">
        <v>8</v>
      </c>
      <c r="G113" s="37"/>
      <c r="H113" s="12"/>
      <c r="I113" s="12"/>
    </row>
    <row r="114" spans="1:9" x14ac:dyDescent="0.25">
      <c r="A114" t="s">
        <v>68</v>
      </c>
      <c r="B114" s="3">
        <v>9</v>
      </c>
      <c r="C114" s="3">
        <v>9</v>
      </c>
      <c r="D114" s="2">
        <v>8</v>
      </c>
      <c r="E114" s="2">
        <v>9</v>
      </c>
      <c r="F114" s="2">
        <v>9</v>
      </c>
      <c r="G114" s="37"/>
      <c r="H114" s="12"/>
      <c r="I114" s="12"/>
    </row>
    <row r="115" spans="1:9" x14ac:dyDescent="0.25">
      <c r="A115" t="s">
        <v>69</v>
      </c>
      <c r="B115" s="3">
        <v>6</v>
      </c>
      <c r="C115" s="3">
        <v>8</v>
      </c>
      <c r="D115" s="2">
        <v>7</v>
      </c>
      <c r="E115" s="2">
        <v>8</v>
      </c>
      <c r="F115" s="2">
        <v>8</v>
      </c>
      <c r="G115" s="37"/>
      <c r="H115" s="12"/>
      <c r="I115" s="12"/>
    </row>
    <row r="116" spans="1:9" x14ac:dyDescent="0.25">
      <c r="A116" t="s">
        <v>70</v>
      </c>
      <c r="B116" s="3">
        <v>6</v>
      </c>
      <c r="C116" s="3">
        <v>6</v>
      </c>
      <c r="D116" s="2">
        <v>6</v>
      </c>
      <c r="E116" s="2">
        <v>6</v>
      </c>
      <c r="F116" s="2">
        <v>6</v>
      </c>
      <c r="G116" s="37"/>
      <c r="H116" s="12"/>
      <c r="I116" s="12"/>
    </row>
    <row r="117" spans="1:9" x14ac:dyDescent="0.25">
      <c r="A117" t="s">
        <v>71</v>
      </c>
      <c r="B117" s="3">
        <v>7</v>
      </c>
      <c r="C117" s="3">
        <v>6</v>
      </c>
      <c r="D117" s="2">
        <v>8</v>
      </c>
      <c r="E117" s="2">
        <v>9</v>
      </c>
      <c r="F117" s="2">
        <v>9</v>
      </c>
      <c r="G117" s="37"/>
      <c r="H117" s="12"/>
      <c r="I117" s="12"/>
    </row>
    <row r="118" spans="1:9" x14ac:dyDescent="0.25">
      <c r="A118" t="s">
        <v>72</v>
      </c>
      <c r="B118" s="3">
        <v>7</v>
      </c>
      <c r="C118" s="3">
        <v>8</v>
      </c>
      <c r="D118" s="2">
        <v>6</v>
      </c>
      <c r="E118" s="2">
        <v>8</v>
      </c>
      <c r="F118" s="2">
        <v>8</v>
      </c>
      <c r="G118" s="37"/>
      <c r="H118" s="12"/>
      <c r="I118" s="12"/>
    </row>
    <row r="119" spans="1:9" x14ac:dyDescent="0.25">
      <c r="A119" t="s">
        <v>73</v>
      </c>
      <c r="B119" s="3">
        <v>7</v>
      </c>
      <c r="C119" s="3">
        <v>9</v>
      </c>
      <c r="D119" s="2">
        <v>8</v>
      </c>
      <c r="E119" s="2">
        <v>7</v>
      </c>
      <c r="F119" s="2">
        <v>6</v>
      </c>
      <c r="G119" s="37"/>
      <c r="H119" s="12"/>
      <c r="I119" s="12"/>
    </row>
    <row r="120" spans="1:9" x14ac:dyDescent="0.25">
      <c r="A120" t="s">
        <v>74</v>
      </c>
      <c r="B120" s="3">
        <v>9</v>
      </c>
      <c r="C120" s="3">
        <v>8</v>
      </c>
      <c r="D120" s="2">
        <v>9</v>
      </c>
      <c r="E120" s="2">
        <v>7</v>
      </c>
      <c r="F120" s="2">
        <v>8</v>
      </c>
      <c r="G120" s="37"/>
      <c r="H120" s="12"/>
      <c r="I120" s="12"/>
    </row>
    <row r="121" spans="1:9" x14ac:dyDescent="0.25">
      <c r="A121" t="s">
        <v>75</v>
      </c>
      <c r="B121" s="3">
        <v>5</v>
      </c>
      <c r="C121" s="3">
        <v>4</v>
      </c>
      <c r="D121" s="2">
        <v>6</v>
      </c>
      <c r="E121" s="2">
        <v>6</v>
      </c>
      <c r="F121" s="2">
        <v>6</v>
      </c>
      <c r="G121" s="37"/>
      <c r="H121" s="12"/>
      <c r="I121" s="12"/>
    </row>
    <row r="122" spans="1:9" x14ac:dyDescent="0.25">
      <c r="A122" t="s">
        <v>76</v>
      </c>
      <c r="B122" s="3">
        <v>9</v>
      </c>
      <c r="C122" s="3">
        <v>9</v>
      </c>
      <c r="D122" s="2">
        <v>8</v>
      </c>
      <c r="E122" s="2">
        <v>9</v>
      </c>
      <c r="F122" s="2">
        <v>6</v>
      </c>
      <c r="G122" s="37"/>
      <c r="H122" s="12"/>
      <c r="I122" s="12"/>
    </row>
    <row r="123" spans="1:9" x14ac:dyDescent="0.25">
      <c r="A123" t="s">
        <v>77</v>
      </c>
      <c r="B123" s="3">
        <v>9</v>
      </c>
      <c r="C123" s="3">
        <v>9</v>
      </c>
      <c r="D123" s="2">
        <v>8</v>
      </c>
      <c r="E123" s="2">
        <v>9</v>
      </c>
      <c r="F123" s="2">
        <v>7</v>
      </c>
      <c r="G123" s="37"/>
      <c r="H123" s="12"/>
      <c r="I123" s="12"/>
    </row>
    <row r="124" spans="1:9" x14ac:dyDescent="0.25">
      <c r="A124" t="s">
        <v>78</v>
      </c>
      <c r="B124" s="3">
        <v>5</v>
      </c>
      <c r="C124" s="3">
        <v>9</v>
      </c>
      <c r="D124" s="2">
        <v>6</v>
      </c>
      <c r="E124" s="2">
        <v>9</v>
      </c>
      <c r="F124" s="2">
        <v>7</v>
      </c>
      <c r="G124" s="37"/>
      <c r="H124" s="12"/>
      <c r="I124" s="12"/>
    </row>
    <row r="125" spans="1:9" x14ac:dyDescent="0.25">
      <c r="A125" t="s">
        <v>79</v>
      </c>
      <c r="B125" s="3">
        <v>8</v>
      </c>
      <c r="C125" s="3">
        <v>8</v>
      </c>
      <c r="D125" s="2">
        <v>8</v>
      </c>
      <c r="E125" s="2">
        <v>8</v>
      </c>
      <c r="F125" s="2">
        <v>8</v>
      </c>
      <c r="G125" s="37"/>
      <c r="H125" s="12"/>
      <c r="I125" s="12"/>
    </row>
    <row r="126" spans="1:9" x14ac:dyDescent="0.25">
      <c r="A126" t="s">
        <v>80</v>
      </c>
      <c r="B126" s="3">
        <v>8</v>
      </c>
      <c r="C126" s="3">
        <v>9</v>
      </c>
      <c r="D126" s="2">
        <v>7</v>
      </c>
      <c r="E126" s="2">
        <v>8</v>
      </c>
      <c r="F126" s="2">
        <v>8</v>
      </c>
      <c r="G126" s="37"/>
      <c r="H126" s="12"/>
      <c r="I126" s="12"/>
    </row>
    <row r="127" spans="1:9" x14ac:dyDescent="0.25">
      <c r="A127" t="s">
        <v>81</v>
      </c>
      <c r="B127" s="3">
        <v>7</v>
      </c>
      <c r="C127" s="3">
        <v>9</v>
      </c>
      <c r="D127" s="2">
        <v>8</v>
      </c>
      <c r="E127" s="2">
        <v>9</v>
      </c>
      <c r="F127" s="2">
        <v>8</v>
      </c>
      <c r="G127" s="37"/>
      <c r="H127" s="12"/>
      <c r="I127" s="12"/>
    </row>
    <row r="128" spans="1:9" ht="15.75" thickBot="1" x14ac:dyDescent="0.3">
      <c r="A128" t="s">
        <v>82</v>
      </c>
      <c r="B128" s="3">
        <v>7</v>
      </c>
      <c r="C128" s="3">
        <v>8</v>
      </c>
      <c r="D128" s="2">
        <v>8</v>
      </c>
      <c r="E128" s="2">
        <v>8</v>
      </c>
      <c r="F128" s="2">
        <v>8</v>
      </c>
      <c r="G128" s="37"/>
      <c r="H128" s="12"/>
      <c r="I128" s="12"/>
    </row>
    <row r="129" spans="1:9" ht="15" customHeight="1" x14ac:dyDescent="0.25">
      <c r="A129" t="s">
        <v>83</v>
      </c>
      <c r="B129" s="3">
        <v>7</v>
      </c>
      <c r="C129" s="3">
        <v>8</v>
      </c>
      <c r="D129" s="2">
        <v>8</v>
      </c>
      <c r="E129" s="2">
        <v>8</v>
      </c>
      <c r="F129" s="2">
        <v>8</v>
      </c>
      <c r="G129" s="41" t="s">
        <v>90</v>
      </c>
      <c r="H129" s="41" t="s">
        <v>92</v>
      </c>
      <c r="I129" s="43" t="s">
        <v>91</v>
      </c>
    </row>
    <row r="130" spans="1:9" ht="15.75" thickBot="1" x14ac:dyDescent="0.3">
      <c r="A130" t="s">
        <v>84</v>
      </c>
      <c r="B130" s="3">
        <v>8</v>
      </c>
      <c r="C130" s="3">
        <v>7</v>
      </c>
      <c r="D130" s="2">
        <v>7</v>
      </c>
      <c r="E130" s="2">
        <v>9</v>
      </c>
      <c r="F130" s="2">
        <v>8</v>
      </c>
      <c r="G130" s="42"/>
      <c r="H130" s="42"/>
      <c r="I130" s="44"/>
    </row>
    <row r="131" spans="1:9" ht="15.75" thickBot="1" x14ac:dyDescent="0.3">
      <c r="B131" s="31">
        <f>SUM(B101:B130)</f>
        <v>232</v>
      </c>
      <c r="C131" s="33">
        <f>SUM(C101:C130)</f>
        <v>238</v>
      </c>
      <c r="D131" s="34">
        <f>SUM(D101:D130)</f>
        <v>229</v>
      </c>
      <c r="E131" s="34">
        <f>SUM(E101:E130)</f>
        <v>244</v>
      </c>
      <c r="F131" s="34">
        <f>SUM(F101:F130)</f>
        <v>233</v>
      </c>
      <c r="G131" s="38">
        <f>SUM(B131:F131)</f>
        <v>1176</v>
      </c>
      <c r="H131" s="39">
        <v>270</v>
      </c>
      <c r="I131" s="40">
        <v>1350</v>
      </c>
    </row>
    <row r="133" spans="1:9" x14ac:dyDescent="0.25">
      <c r="A133" s="12" t="s">
        <v>20</v>
      </c>
      <c r="B133" s="10" t="s">
        <v>7</v>
      </c>
      <c r="C133" s="10" t="s">
        <v>8</v>
      </c>
      <c r="D133" s="11" t="s">
        <v>9</v>
      </c>
      <c r="E133" s="11" t="s">
        <v>10</v>
      </c>
      <c r="F133" s="11" t="s">
        <v>11</v>
      </c>
    </row>
    <row r="134" spans="1:9" x14ac:dyDescent="0.25">
      <c r="A134" t="s">
        <v>53</v>
      </c>
      <c r="B134" s="3">
        <v>9</v>
      </c>
      <c r="C134" s="3">
        <v>9</v>
      </c>
      <c r="D134" s="2">
        <v>9</v>
      </c>
      <c r="E134" s="2">
        <v>9</v>
      </c>
      <c r="F134" s="2">
        <v>9</v>
      </c>
    </row>
    <row r="135" spans="1:9" x14ac:dyDescent="0.25">
      <c r="A135" t="s">
        <v>66</v>
      </c>
      <c r="B135" s="3">
        <v>9</v>
      </c>
      <c r="C135" s="3">
        <v>8</v>
      </c>
      <c r="D135" s="2">
        <v>8</v>
      </c>
      <c r="E135" s="2">
        <v>9</v>
      </c>
      <c r="F135" s="2">
        <v>8</v>
      </c>
    </row>
    <row r="136" spans="1:9" x14ac:dyDescent="0.25">
      <c r="A136" t="s">
        <v>55</v>
      </c>
      <c r="B136" s="3">
        <v>9</v>
      </c>
      <c r="C136" s="3">
        <v>9</v>
      </c>
      <c r="D136" s="2">
        <v>9</v>
      </c>
      <c r="E136" s="2">
        <v>9</v>
      </c>
      <c r="F136" s="2">
        <v>9</v>
      </c>
    </row>
    <row r="137" spans="1:9" x14ac:dyDescent="0.25">
      <c r="A137" t="s">
        <v>56</v>
      </c>
      <c r="B137" s="3">
        <v>9</v>
      </c>
      <c r="C137" s="3">
        <v>9</v>
      </c>
      <c r="D137" s="2">
        <v>9</v>
      </c>
      <c r="E137" s="2">
        <v>9</v>
      </c>
      <c r="F137" s="2">
        <v>9</v>
      </c>
    </row>
    <row r="138" spans="1:9" x14ac:dyDescent="0.25">
      <c r="A138" t="s">
        <v>57</v>
      </c>
      <c r="B138" s="3">
        <v>6</v>
      </c>
      <c r="C138" s="3">
        <v>3</v>
      </c>
      <c r="D138" s="2">
        <v>5</v>
      </c>
      <c r="E138" s="2">
        <v>9</v>
      </c>
      <c r="F138" s="2">
        <v>5</v>
      </c>
    </row>
    <row r="139" spans="1:9" x14ac:dyDescent="0.25">
      <c r="A139" t="s">
        <v>58</v>
      </c>
      <c r="B139" s="3">
        <v>8</v>
      </c>
      <c r="C139" s="3">
        <v>6</v>
      </c>
      <c r="D139" s="2">
        <v>6</v>
      </c>
      <c r="E139" s="2">
        <v>7</v>
      </c>
      <c r="F139" s="2">
        <v>8</v>
      </c>
    </row>
    <row r="140" spans="1:9" x14ac:dyDescent="0.25">
      <c r="A140" t="s">
        <v>59</v>
      </c>
      <c r="B140" s="3">
        <v>8</v>
      </c>
      <c r="C140" s="3">
        <v>7</v>
      </c>
      <c r="D140" s="2">
        <v>7</v>
      </c>
      <c r="E140" s="2">
        <v>7</v>
      </c>
      <c r="F140" s="2">
        <v>8</v>
      </c>
      <c r="G140" s="37"/>
      <c r="H140" s="12"/>
      <c r="I140" s="12"/>
    </row>
    <row r="141" spans="1:9" x14ac:dyDescent="0.25">
      <c r="A141" t="s">
        <v>60</v>
      </c>
      <c r="B141" s="3">
        <v>8</v>
      </c>
      <c r="C141" s="3">
        <v>5</v>
      </c>
      <c r="D141" s="2">
        <v>5</v>
      </c>
      <c r="E141" s="2">
        <v>5</v>
      </c>
      <c r="F141" s="2">
        <v>6</v>
      </c>
      <c r="G141" s="37"/>
      <c r="H141" s="12"/>
      <c r="I141" s="12"/>
    </row>
    <row r="142" spans="1:9" x14ac:dyDescent="0.25">
      <c r="A142" t="s">
        <v>61</v>
      </c>
      <c r="B142" s="3">
        <v>8</v>
      </c>
      <c r="C142" s="3">
        <v>8</v>
      </c>
      <c r="D142" s="2">
        <v>7</v>
      </c>
      <c r="E142" s="2">
        <v>9</v>
      </c>
      <c r="F142" s="2">
        <v>9</v>
      </c>
      <c r="G142" s="37"/>
      <c r="H142" s="12"/>
      <c r="I142" s="12"/>
    </row>
    <row r="143" spans="1:9" x14ac:dyDescent="0.25">
      <c r="A143" t="s">
        <v>62</v>
      </c>
      <c r="B143" s="3">
        <v>6</v>
      </c>
      <c r="C143" s="3">
        <v>9</v>
      </c>
      <c r="D143" s="2">
        <v>7</v>
      </c>
      <c r="E143" s="2">
        <v>8</v>
      </c>
      <c r="F143" s="2">
        <v>8</v>
      </c>
      <c r="G143" s="37"/>
      <c r="H143" s="12"/>
      <c r="I143" s="12"/>
    </row>
    <row r="144" spans="1:9" x14ac:dyDescent="0.25">
      <c r="A144" t="s">
        <v>63</v>
      </c>
      <c r="B144" s="3">
        <v>9</v>
      </c>
      <c r="C144" s="3">
        <v>9</v>
      </c>
      <c r="D144" s="2">
        <v>9</v>
      </c>
      <c r="E144" s="2">
        <v>8</v>
      </c>
      <c r="F144" s="2">
        <v>9</v>
      </c>
      <c r="G144" s="37"/>
      <c r="H144" s="12"/>
      <c r="I144" s="12"/>
    </row>
    <row r="145" spans="1:9" x14ac:dyDescent="0.25">
      <c r="A145" t="s">
        <v>64</v>
      </c>
      <c r="B145" s="3">
        <v>7</v>
      </c>
      <c r="C145" s="3">
        <v>9</v>
      </c>
      <c r="D145" s="2">
        <v>3</v>
      </c>
      <c r="E145" s="2">
        <v>9</v>
      </c>
      <c r="F145" s="2">
        <v>4</v>
      </c>
      <c r="G145" s="37"/>
      <c r="H145" s="12"/>
      <c r="I145" s="12"/>
    </row>
    <row r="146" spans="1:9" x14ac:dyDescent="0.25">
      <c r="A146" t="s">
        <v>65</v>
      </c>
      <c r="B146" s="3">
        <v>7</v>
      </c>
      <c r="C146" s="3">
        <v>8</v>
      </c>
      <c r="D146" s="2">
        <v>8</v>
      </c>
      <c r="E146" s="2">
        <v>7</v>
      </c>
      <c r="F146" s="2">
        <v>8</v>
      </c>
      <c r="G146" s="37"/>
      <c r="H146" s="12"/>
      <c r="I146" s="12"/>
    </row>
    <row r="147" spans="1:9" x14ac:dyDescent="0.25">
      <c r="A147" t="s">
        <v>68</v>
      </c>
      <c r="B147" s="3">
        <v>9</v>
      </c>
      <c r="C147" s="3">
        <v>9</v>
      </c>
      <c r="D147" s="2">
        <v>9</v>
      </c>
      <c r="E147" s="2">
        <v>9</v>
      </c>
      <c r="F147" s="2">
        <v>9</v>
      </c>
      <c r="G147" s="37"/>
      <c r="H147" s="12"/>
      <c r="I147" s="12"/>
    </row>
    <row r="148" spans="1:9" x14ac:dyDescent="0.25">
      <c r="A148" t="s">
        <v>69</v>
      </c>
      <c r="B148" s="3">
        <v>9</v>
      </c>
      <c r="C148" s="3">
        <v>7</v>
      </c>
      <c r="D148" s="2">
        <v>6</v>
      </c>
      <c r="E148" s="2">
        <v>8</v>
      </c>
      <c r="F148" s="2">
        <v>8</v>
      </c>
      <c r="G148" s="37"/>
      <c r="H148" s="12"/>
      <c r="I148" s="12"/>
    </row>
    <row r="149" spans="1:9" x14ac:dyDescent="0.25">
      <c r="A149" t="s">
        <v>70</v>
      </c>
      <c r="B149" s="3">
        <v>6</v>
      </c>
      <c r="C149" s="3">
        <v>6</v>
      </c>
      <c r="D149" s="2">
        <v>6</v>
      </c>
      <c r="E149" s="2">
        <v>6</v>
      </c>
      <c r="F149" s="2">
        <v>6</v>
      </c>
      <c r="G149" s="37"/>
      <c r="H149" s="12"/>
      <c r="I149" s="12"/>
    </row>
    <row r="150" spans="1:9" x14ac:dyDescent="0.25">
      <c r="A150" t="s">
        <v>71</v>
      </c>
      <c r="B150" s="3">
        <v>8</v>
      </c>
      <c r="C150" s="3">
        <v>7</v>
      </c>
      <c r="D150" s="2">
        <v>6</v>
      </c>
      <c r="E150" s="2">
        <v>7</v>
      </c>
      <c r="F150" s="2">
        <v>7</v>
      </c>
      <c r="G150" s="37"/>
      <c r="H150" s="12"/>
      <c r="I150" s="12"/>
    </row>
    <row r="151" spans="1:9" x14ac:dyDescent="0.25">
      <c r="A151" t="s">
        <v>72</v>
      </c>
      <c r="B151" s="3">
        <v>9</v>
      </c>
      <c r="C151" s="3">
        <v>8</v>
      </c>
      <c r="D151" s="2">
        <v>7</v>
      </c>
      <c r="E151" s="2">
        <v>9</v>
      </c>
      <c r="F151" s="2">
        <v>8</v>
      </c>
      <c r="G151" s="37"/>
      <c r="H151" s="12"/>
      <c r="I151" s="12"/>
    </row>
    <row r="152" spans="1:9" x14ac:dyDescent="0.25">
      <c r="A152" t="s">
        <v>73</v>
      </c>
      <c r="B152" s="3">
        <v>7</v>
      </c>
      <c r="C152" s="3">
        <v>6</v>
      </c>
      <c r="D152" s="2">
        <v>9</v>
      </c>
      <c r="E152" s="2">
        <v>9</v>
      </c>
      <c r="F152" s="2">
        <v>8</v>
      </c>
      <c r="G152" s="37"/>
      <c r="H152" s="12"/>
      <c r="I152" s="12"/>
    </row>
    <row r="153" spans="1:9" x14ac:dyDescent="0.25">
      <c r="A153" t="s">
        <v>74</v>
      </c>
      <c r="B153" s="3">
        <v>8</v>
      </c>
      <c r="C153" s="3">
        <v>8</v>
      </c>
      <c r="D153" s="2">
        <v>9</v>
      </c>
      <c r="E153" s="2">
        <v>7</v>
      </c>
      <c r="F153" s="2">
        <v>8</v>
      </c>
      <c r="G153" s="37"/>
      <c r="H153" s="12"/>
      <c r="I153" s="12"/>
    </row>
    <row r="154" spans="1:9" x14ac:dyDescent="0.25">
      <c r="A154" t="s">
        <v>75</v>
      </c>
      <c r="B154" s="3">
        <v>8</v>
      </c>
      <c r="C154" s="3">
        <v>6</v>
      </c>
      <c r="D154" s="2">
        <v>6</v>
      </c>
      <c r="E154" s="2">
        <v>7</v>
      </c>
      <c r="F154" s="2">
        <v>6</v>
      </c>
      <c r="G154" s="37"/>
      <c r="H154" s="12"/>
      <c r="I154" s="12"/>
    </row>
    <row r="155" spans="1:9" x14ac:dyDescent="0.25">
      <c r="A155" t="s">
        <v>76</v>
      </c>
      <c r="B155" s="3">
        <v>9</v>
      </c>
      <c r="C155" s="3">
        <v>7</v>
      </c>
      <c r="D155" s="2">
        <v>9</v>
      </c>
      <c r="E155" s="35">
        <v>8</v>
      </c>
      <c r="F155" s="35">
        <v>8</v>
      </c>
      <c r="G155" s="37"/>
      <c r="H155" s="12"/>
      <c r="I155" s="12"/>
    </row>
    <row r="156" spans="1:9" x14ac:dyDescent="0.25">
      <c r="A156" t="s">
        <v>77</v>
      </c>
      <c r="B156" s="3">
        <v>9</v>
      </c>
      <c r="C156" s="3">
        <v>7</v>
      </c>
      <c r="D156" s="2">
        <v>9</v>
      </c>
      <c r="E156" s="2">
        <v>8</v>
      </c>
      <c r="F156" s="2">
        <v>8</v>
      </c>
      <c r="G156" s="37"/>
      <c r="H156" s="12"/>
      <c r="I156" s="12"/>
    </row>
    <row r="157" spans="1:9" x14ac:dyDescent="0.25">
      <c r="A157" t="s">
        <v>78</v>
      </c>
      <c r="B157" s="3">
        <v>8</v>
      </c>
      <c r="C157" s="3">
        <v>6</v>
      </c>
      <c r="D157" s="2">
        <v>8</v>
      </c>
      <c r="E157" s="2">
        <v>9</v>
      </c>
      <c r="F157" s="2">
        <v>5</v>
      </c>
      <c r="G157" s="37"/>
      <c r="H157" s="12"/>
      <c r="I157" s="12"/>
    </row>
    <row r="158" spans="1:9" x14ac:dyDescent="0.25">
      <c r="A158" t="s">
        <v>79</v>
      </c>
      <c r="B158" s="3">
        <v>9</v>
      </c>
      <c r="C158" s="3">
        <v>9</v>
      </c>
      <c r="D158" s="2">
        <v>9</v>
      </c>
      <c r="E158" s="2">
        <v>8</v>
      </c>
      <c r="F158" s="2">
        <v>9</v>
      </c>
      <c r="G158" s="37"/>
      <c r="H158" s="12"/>
      <c r="I158" s="12"/>
    </row>
    <row r="159" spans="1:9" x14ac:dyDescent="0.25">
      <c r="A159" t="s">
        <v>80</v>
      </c>
      <c r="B159" s="3">
        <v>9</v>
      </c>
      <c r="C159" s="3">
        <v>7</v>
      </c>
      <c r="D159" s="2">
        <v>8</v>
      </c>
      <c r="E159" s="2">
        <v>8</v>
      </c>
      <c r="F159" s="2">
        <v>9</v>
      </c>
      <c r="G159" s="37"/>
      <c r="H159" s="12"/>
      <c r="I159" s="12"/>
    </row>
    <row r="160" spans="1:9" x14ac:dyDescent="0.25">
      <c r="A160" t="s">
        <v>81</v>
      </c>
      <c r="B160" s="3">
        <v>9</v>
      </c>
      <c r="C160" s="3">
        <v>9</v>
      </c>
      <c r="D160" s="2">
        <v>9</v>
      </c>
      <c r="E160" s="2">
        <v>8</v>
      </c>
      <c r="F160" s="2">
        <v>9</v>
      </c>
      <c r="G160" s="37"/>
      <c r="H160" s="12"/>
      <c r="I160" s="12"/>
    </row>
    <row r="161" spans="1:9" ht="15.75" thickBot="1" x14ac:dyDescent="0.3">
      <c r="A161" t="s">
        <v>82</v>
      </c>
      <c r="B161" s="3">
        <v>8</v>
      </c>
      <c r="C161" s="3">
        <v>9</v>
      </c>
      <c r="D161" s="2">
        <v>9</v>
      </c>
      <c r="E161" s="2">
        <v>9</v>
      </c>
      <c r="F161" s="2">
        <v>8</v>
      </c>
      <c r="G161" s="37"/>
      <c r="H161" s="12"/>
      <c r="I161" s="12"/>
    </row>
    <row r="162" spans="1:9" x14ac:dyDescent="0.25">
      <c r="A162" t="s">
        <v>83</v>
      </c>
      <c r="B162" s="3">
        <v>9</v>
      </c>
      <c r="C162" s="3">
        <v>8</v>
      </c>
      <c r="D162" s="2">
        <v>8</v>
      </c>
      <c r="E162" s="2">
        <v>8</v>
      </c>
      <c r="F162" s="2">
        <v>7</v>
      </c>
      <c r="G162" s="41" t="s">
        <v>90</v>
      </c>
      <c r="H162" s="41" t="s">
        <v>92</v>
      </c>
      <c r="I162" s="43" t="s">
        <v>91</v>
      </c>
    </row>
    <row r="163" spans="1:9" ht="15.75" thickBot="1" x14ac:dyDescent="0.3">
      <c r="A163" t="s">
        <v>84</v>
      </c>
      <c r="B163" s="3">
        <v>8</v>
      </c>
      <c r="C163" s="3">
        <v>9</v>
      </c>
      <c r="D163" s="2">
        <v>9</v>
      </c>
      <c r="E163" s="2">
        <v>8</v>
      </c>
      <c r="F163" s="2">
        <v>7</v>
      </c>
      <c r="G163" s="42"/>
      <c r="H163" s="42"/>
      <c r="I163" s="44"/>
    </row>
    <row r="164" spans="1:9" ht="15.75" thickBot="1" x14ac:dyDescent="0.3">
      <c r="B164" s="31">
        <f>SUM(B134:B163)</f>
        <v>245</v>
      </c>
      <c r="C164" s="31">
        <f>SUM(C134:C163)</f>
        <v>227</v>
      </c>
      <c r="D164" s="32">
        <f>SUM(D134:D163)</f>
        <v>228</v>
      </c>
      <c r="E164" s="34">
        <f>SUM(E134:E163)</f>
        <v>241</v>
      </c>
      <c r="F164" s="34">
        <f>SUM(F134:F163)</f>
        <v>230</v>
      </c>
      <c r="G164" s="38">
        <f>SUM(B164:F164)</f>
        <v>1171</v>
      </c>
      <c r="H164" s="39">
        <v>270</v>
      </c>
      <c r="I164" s="40">
        <v>1350</v>
      </c>
    </row>
    <row r="166" spans="1:9" x14ac:dyDescent="0.25">
      <c r="A166" s="12" t="s">
        <v>21</v>
      </c>
      <c r="B166" s="10" t="s">
        <v>7</v>
      </c>
      <c r="C166" s="10" t="s">
        <v>8</v>
      </c>
      <c r="D166" s="11" t="s">
        <v>9</v>
      </c>
      <c r="E166" s="11" t="s">
        <v>10</v>
      </c>
    </row>
    <row r="167" spans="1:9" x14ac:dyDescent="0.25">
      <c r="A167" t="s">
        <v>53</v>
      </c>
      <c r="B167" s="3">
        <v>9</v>
      </c>
      <c r="C167" s="3">
        <v>9</v>
      </c>
      <c r="D167" s="2">
        <v>9</v>
      </c>
      <c r="E167" s="2">
        <v>9</v>
      </c>
    </row>
    <row r="168" spans="1:9" x14ac:dyDescent="0.25">
      <c r="A168" t="s">
        <v>66</v>
      </c>
      <c r="B168" s="3">
        <v>9</v>
      </c>
      <c r="C168" s="3">
        <v>8</v>
      </c>
      <c r="D168" s="2">
        <v>8</v>
      </c>
      <c r="E168" s="2">
        <v>9</v>
      </c>
    </row>
    <row r="169" spans="1:9" x14ac:dyDescent="0.25">
      <c r="A169" t="s">
        <v>55</v>
      </c>
      <c r="B169" s="3">
        <v>8</v>
      </c>
      <c r="C169" s="3">
        <v>7</v>
      </c>
      <c r="D169" s="2">
        <v>7</v>
      </c>
      <c r="E169" s="2">
        <v>8</v>
      </c>
    </row>
    <row r="170" spans="1:9" x14ac:dyDescent="0.25">
      <c r="A170" t="s">
        <v>56</v>
      </c>
      <c r="B170" s="3">
        <v>8</v>
      </c>
      <c r="C170" s="3">
        <v>8</v>
      </c>
      <c r="D170" s="2">
        <v>8</v>
      </c>
      <c r="E170" s="2">
        <v>9</v>
      </c>
    </row>
    <row r="171" spans="1:9" x14ac:dyDescent="0.25">
      <c r="A171" t="s">
        <v>57</v>
      </c>
      <c r="B171" s="3">
        <v>9</v>
      </c>
      <c r="C171" s="3">
        <v>5</v>
      </c>
      <c r="D171" s="2">
        <v>7</v>
      </c>
      <c r="E171" s="2">
        <v>9</v>
      </c>
    </row>
    <row r="172" spans="1:9" x14ac:dyDescent="0.25">
      <c r="A172" t="s">
        <v>58</v>
      </c>
      <c r="B172" s="3">
        <v>7</v>
      </c>
      <c r="C172" s="3">
        <v>7</v>
      </c>
      <c r="D172" s="2">
        <v>6</v>
      </c>
      <c r="E172" s="2">
        <v>9</v>
      </c>
    </row>
    <row r="173" spans="1:9" x14ac:dyDescent="0.25">
      <c r="A173" t="s">
        <v>59</v>
      </c>
      <c r="B173" s="3">
        <v>7</v>
      </c>
      <c r="C173" s="3">
        <v>8</v>
      </c>
      <c r="D173" s="2">
        <v>7</v>
      </c>
      <c r="E173" s="2">
        <v>8</v>
      </c>
      <c r="G173" s="37"/>
      <c r="H173" s="12"/>
      <c r="I173" s="12"/>
    </row>
    <row r="174" spans="1:9" x14ac:dyDescent="0.25">
      <c r="A174" t="s">
        <v>60</v>
      </c>
      <c r="B174" s="3">
        <v>8</v>
      </c>
      <c r="C174" s="3">
        <v>5</v>
      </c>
      <c r="D174" s="2">
        <v>7</v>
      </c>
      <c r="E174" s="2">
        <v>8</v>
      </c>
      <c r="G174" s="37"/>
      <c r="H174" s="12"/>
      <c r="I174" s="12"/>
    </row>
    <row r="175" spans="1:9" x14ac:dyDescent="0.25">
      <c r="A175" t="s">
        <v>61</v>
      </c>
      <c r="B175" s="3">
        <v>8</v>
      </c>
      <c r="C175" s="3">
        <v>8</v>
      </c>
      <c r="D175" s="2">
        <v>8</v>
      </c>
      <c r="E175" s="2">
        <v>9</v>
      </c>
      <c r="G175" s="37"/>
      <c r="H175" s="12"/>
      <c r="I175" s="12"/>
    </row>
    <row r="176" spans="1:9" x14ac:dyDescent="0.25">
      <c r="A176" t="s">
        <v>62</v>
      </c>
      <c r="B176" s="3">
        <v>8</v>
      </c>
      <c r="C176" s="3">
        <v>6</v>
      </c>
      <c r="D176" s="2">
        <v>8</v>
      </c>
      <c r="E176" s="2">
        <v>7</v>
      </c>
      <c r="G176" s="37"/>
      <c r="H176" s="12"/>
      <c r="I176" s="12"/>
    </row>
    <row r="177" spans="1:9" x14ac:dyDescent="0.25">
      <c r="A177" t="s">
        <v>63</v>
      </c>
      <c r="B177" s="3">
        <v>9</v>
      </c>
      <c r="C177" s="3">
        <v>7</v>
      </c>
      <c r="D177" s="2">
        <v>9</v>
      </c>
      <c r="E177" s="2">
        <v>9</v>
      </c>
      <c r="G177" s="37"/>
      <c r="H177" s="12"/>
      <c r="I177" s="12"/>
    </row>
    <row r="178" spans="1:9" x14ac:dyDescent="0.25">
      <c r="A178" t="s">
        <v>64</v>
      </c>
      <c r="B178" s="3">
        <v>9</v>
      </c>
      <c r="C178" s="3">
        <v>7</v>
      </c>
      <c r="D178" s="2">
        <v>9</v>
      </c>
      <c r="E178" s="2">
        <v>9</v>
      </c>
      <c r="G178" s="37"/>
      <c r="H178" s="12"/>
      <c r="I178" s="12"/>
    </row>
    <row r="179" spans="1:9" x14ac:dyDescent="0.25">
      <c r="A179" t="s">
        <v>65</v>
      </c>
      <c r="B179" s="3">
        <v>7</v>
      </c>
      <c r="C179" s="3">
        <v>8</v>
      </c>
      <c r="D179" s="2">
        <v>8</v>
      </c>
      <c r="E179" s="2">
        <v>7</v>
      </c>
      <c r="G179" s="37"/>
      <c r="H179" s="12"/>
      <c r="I179" s="12"/>
    </row>
    <row r="180" spans="1:9" x14ac:dyDescent="0.25">
      <c r="A180" t="s">
        <v>68</v>
      </c>
      <c r="B180" s="3">
        <v>9</v>
      </c>
      <c r="C180" s="3">
        <v>8</v>
      </c>
      <c r="D180" s="2">
        <v>8</v>
      </c>
      <c r="E180" s="2">
        <v>9</v>
      </c>
      <c r="G180" s="37"/>
      <c r="H180" s="12"/>
      <c r="I180" s="12"/>
    </row>
    <row r="181" spans="1:9" x14ac:dyDescent="0.25">
      <c r="A181" t="s">
        <v>69</v>
      </c>
      <c r="B181" s="3">
        <v>9</v>
      </c>
      <c r="C181" s="3">
        <v>6</v>
      </c>
      <c r="D181" s="2">
        <v>8</v>
      </c>
      <c r="E181" s="2">
        <v>9</v>
      </c>
      <c r="G181" s="37"/>
      <c r="H181" s="12"/>
      <c r="I181" s="12"/>
    </row>
    <row r="182" spans="1:9" x14ac:dyDescent="0.25">
      <c r="A182" t="s">
        <v>70</v>
      </c>
      <c r="B182" s="3">
        <v>6</v>
      </c>
      <c r="C182" s="3">
        <v>6</v>
      </c>
      <c r="D182" s="2">
        <v>6</v>
      </c>
      <c r="E182" s="2">
        <v>6</v>
      </c>
      <c r="G182" s="37"/>
      <c r="H182" s="12"/>
      <c r="I182" s="12"/>
    </row>
    <row r="183" spans="1:9" x14ac:dyDescent="0.25">
      <c r="A183" t="s">
        <v>71</v>
      </c>
      <c r="B183" s="3">
        <v>6</v>
      </c>
      <c r="C183" s="3">
        <v>8</v>
      </c>
      <c r="D183" s="2">
        <v>9</v>
      </c>
      <c r="E183" s="2">
        <v>8</v>
      </c>
      <c r="G183" s="37"/>
      <c r="H183" s="12"/>
      <c r="I183" s="12"/>
    </row>
    <row r="184" spans="1:9" x14ac:dyDescent="0.25">
      <c r="A184" t="s">
        <v>72</v>
      </c>
      <c r="B184" s="3">
        <v>8</v>
      </c>
      <c r="C184" s="3">
        <v>8</v>
      </c>
      <c r="D184" s="2">
        <v>8</v>
      </c>
      <c r="E184" s="2">
        <v>9</v>
      </c>
      <c r="G184" s="37"/>
      <c r="H184" s="12"/>
      <c r="I184" s="12"/>
    </row>
    <row r="185" spans="1:9" x14ac:dyDescent="0.25">
      <c r="A185" t="s">
        <v>73</v>
      </c>
      <c r="B185" s="3">
        <v>6</v>
      </c>
      <c r="C185" s="3">
        <v>4</v>
      </c>
      <c r="D185" s="2">
        <v>3</v>
      </c>
      <c r="E185" s="2">
        <v>9</v>
      </c>
      <c r="G185" s="37"/>
      <c r="H185" s="12"/>
      <c r="I185" s="12"/>
    </row>
    <row r="186" spans="1:9" x14ac:dyDescent="0.25">
      <c r="A186" t="s">
        <v>74</v>
      </c>
      <c r="B186" s="3">
        <v>8</v>
      </c>
      <c r="C186" s="3">
        <v>8</v>
      </c>
      <c r="D186" s="2">
        <v>9</v>
      </c>
      <c r="E186" s="2">
        <v>8</v>
      </c>
      <c r="G186" s="37"/>
      <c r="H186" s="12"/>
      <c r="I186" s="12"/>
    </row>
    <row r="187" spans="1:9" x14ac:dyDescent="0.25">
      <c r="A187" t="s">
        <v>75</v>
      </c>
      <c r="B187" s="3">
        <v>7</v>
      </c>
      <c r="C187" s="3">
        <v>6</v>
      </c>
      <c r="D187" s="2">
        <v>5</v>
      </c>
      <c r="E187" s="2">
        <v>8</v>
      </c>
      <c r="G187" s="37"/>
      <c r="H187" s="12"/>
      <c r="I187" s="12"/>
    </row>
    <row r="188" spans="1:9" x14ac:dyDescent="0.25">
      <c r="A188" t="s">
        <v>76</v>
      </c>
      <c r="B188" s="36">
        <v>6</v>
      </c>
      <c r="C188" s="36">
        <v>6</v>
      </c>
      <c r="D188" s="35">
        <v>7</v>
      </c>
      <c r="E188" s="2">
        <v>8</v>
      </c>
      <c r="G188" s="37"/>
      <c r="H188" s="12"/>
      <c r="I188" s="12"/>
    </row>
    <row r="189" spans="1:9" x14ac:dyDescent="0.25">
      <c r="A189" t="s">
        <v>77</v>
      </c>
      <c r="B189" s="3">
        <v>7</v>
      </c>
      <c r="C189" s="3">
        <v>6</v>
      </c>
      <c r="D189" s="2">
        <v>8</v>
      </c>
      <c r="E189" s="2">
        <v>8</v>
      </c>
      <c r="G189" s="37"/>
      <c r="H189" s="12"/>
      <c r="I189" s="12"/>
    </row>
    <row r="190" spans="1:9" x14ac:dyDescent="0.25">
      <c r="A190" t="s">
        <v>78</v>
      </c>
      <c r="B190" s="3">
        <v>9</v>
      </c>
      <c r="C190" s="3">
        <v>8</v>
      </c>
      <c r="D190" s="2">
        <v>5</v>
      </c>
      <c r="E190" s="2">
        <v>8</v>
      </c>
      <c r="G190" s="37"/>
      <c r="H190" s="12"/>
      <c r="I190" s="12"/>
    </row>
    <row r="191" spans="1:9" x14ac:dyDescent="0.25">
      <c r="A191" t="s">
        <v>79</v>
      </c>
      <c r="B191" s="3">
        <v>9</v>
      </c>
      <c r="C191" s="3">
        <v>9</v>
      </c>
      <c r="D191" s="2">
        <v>9</v>
      </c>
      <c r="E191" s="2">
        <v>9</v>
      </c>
      <c r="G191" s="37"/>
      <c r="H191" s="12"/>
      <c r="I191" s="12"/>
    </row>
    <row r="192" spans="1:9" x14ac:dyDescent="0.25">
      <c r="A192" t="s">
        <v>80</v>
      </c>
      <c r="B192" s="3">
        <v>8</v>
      </c>
      <c r="C192" s="3">
        <v>9</v>
      </c>
      <c r="D192" s="2">
        <v>9</v>
      </c>
      <c r="E192" s="2">
        <v>9</v>
      </c>
      <c r="G192" s="37"/>
      <c r="H192" s="12"/>
      <c r="I192" s="12"/>
    </row>
    <row r="193" spans="1:9" x14ac:dyDescent="0.25">
      <c r="A193" t="s">
        <v>81</v>
      </c>
      <c r="B193" s="3">
        <v>9</v>
      </c>
      <c r="C193" s="3">
        <v>9</v>
      </c>
      <c r="D193" s="2">
        <v>9</v>
      </c>
      <c r="E193" s="2">
        <v>8</v>
      </c>
      <c r="G193" s="37"/>
      <c r="H193" s="12"/>
      <c r="I193" s="12"/>
    </row>
    <row r="194" spans="1:9" ht="15.75" thickBot="1" x14ac:dyDescent="0.3">
      <c r="A194" t="s">
        <v>82</v>
      </c>
      <c r="B194" s="3">
        <v>8</v>
      </c>
      <c r="C194" s="3">
        <v>8</v>
      </c>
      <c r="D194" s="2">
        <v>9</v>
      </c>
      <c r="E194" s="2">
        <v>8</v>
      </c>
      <c r="G194" s="37"/>
      <c r="H194" s="12"/>
      <c r="I194" s="12"/>
    </row>
    <row r="195" spans="1:9" ht="15" customHeight="1" x14ac:dyDescent="0.25">
      <c r="A195" t="s">
        <v>83</v>
      </c>
      <c r="B195" s="3">
        <v>8</v>
      </c>
      <c r="C195" s="3">
        <v>7</v>
      </c>
      <c r="D195" s="2">
        <v>8</v>
      </c>
      <c r="E195" s="2">
        <v>7</v>
      </c>
      <c r="F195" s="41" t="s">
        <v>90</v>
      </c>
      <c r="G195" s="41" t="s">
        <v>92</v>
      </c>
      <c r="H195" s="43" t="s">
        <v>91</v>
      </c>
      <c r="I195" s="12"/>
    </row>
    <row r="196" spans="1:9" ht="15.75" thickBot="1" x14ac:dyDescent="0.3">
      <c r="A196" t="s">
        <v>84</v>
      </c>
      <c r="B196" s="3">
        <v>9</v>
      </c>
      <c r="C196" s="3">
        <v>7</v>
      </c>
      <c r="D196" s="2">
        <v>8</v>
      </c>
      <c r="E196" s="2">
        <v>8</v>
      </c>
      <c r="F196" s="42"/>
      <c r="G196" s="42"/>
      <c r="H196" s="44"/>
      <c r="I196" s="12"/>
    </row>
    <row r="197" spans="1:9" ht="15.75" thickBot="1" x14ac:dyDescent="0.3">
      <c r="B197" s="31">
        <f>SUM(B167:B196)</f>
        <v>238</v>
      </c>
      <c r="C197" s="33">
        <f>SUM(C167:C196)</f>
        <v>216</v>
      </c>
      <c r="D197" s="34">
        <f>SUM(D167:D196)</f>
        <v>229</v>
      </c>
      <c r="E197" s="34">
        <f>SUM(E167:E196)</f>
        <v>249</v>
      </c>
      <c r="F197" s="38">
        <f>SUM(B197:E197)</f>
        <v>932</v>
      </c>
      <c r="G197" s="39">
        <v>270</v>
      </c>
      <c r="H197" s="40">
        <v>1350</v>
      </c>
      <c r="I197" s="12"/>
    </row>
    <row r="200" spans="1:9" x14ac:dyDescent="0.25">
      <c r="A200" s="12" t="s">
        <v>22</v>
      </c>
      <c r="B200" s="10" t="s">
        <v>7</v>
      </c>
      <c r="C200" s="10" t="s">
        <v>8</v>
      </c>
      <c r="D200" s="11" t="s">
        <v>9</v>
      </c>
    </row>
    <row r="201" spans="1:9" x14ac:dyDescent="0.25">
      <c r="A201" t="s">
        <v>53</v>
      </c>
      <c r="B201" s="3">
        <v>9</v>
      </c>
      <c r="C201" s="3">
        <v>9</v>
      </c>
      <c r="D201" s="2">
        <v>9</v>
      </c>
    </row>
    <row r="202" spans="1:9" x14ac:dyDescent="0.25">
      <c r="A202" t="s">
        <v>66</v>
      </c>
      <c r="B202" s="3">
        <v>9</v>
      </c>
      <c r="C202" s="3">
        <v>8</v>
      </c>
      <c r="D202" s="2">
        <v>8</v>
      </c>
    </row>
    <row r="203" spans="1:9" x14ac:dyDescent="0.25">
      <c r="A203" t="s">
        <v>55</v>
      </c>
      <c r="B203" s="3">
        <v>7</v>
      </c>
      <c r="C203" s="3">
        <v>9</v>
      </c>
      <c r="D203" s="2">
        <v>8</v>
      </c>
    </row>
    <row r="204" spans="1:9" x14ac:dyDescent="0.25">
      <c r="A204" t="s">
        <v>56</v>
      </c>
      <c r="B204" s="3">
        <v>8</v>
      </c>
      <c r="C204" s="3">
        <v>9</v>
      </c>
      <c r="D204" s="2">
        <v>8</v>
      </c>
    </row>
    <row r="205" spans="1:9" x14ac:dyDescent="0.25">
      <c r="A205" t="s">
        <v>57</v>
      </c>
      <c r="B205" s="3">
        <v>5</v>
      </c>
      <c r="C205" s="3">
        <v>8</v>
      </c>
      <c r="D205" s="2">
        <v>5</v>
      </c>
    </row>
    <row r="206" spans="1:9" x14ac:dyDescent="0.25">
      <c r="A206" t="s">
        <v>58</v>
      </c>
      <c r="B206" s="3">
        <v>8</v>
      </c>
      <c r="C206" s="3">
        <v>7</v>
      </c>
      <c r="D206" s="2">
        <v>6</v>
      </c>
    </row>
    <row r="207" spans="1:9" x14ac:dyDescent="0.25">
      <c r="A207" t="s">
        <v>59</v>
      </c>
      <c r="B207" s="3">
        <v>5</v>
      </c>
      <c r="C207" s="3">
        <v>8</v>
      </c>
      <c r="D207" s="2">
        <v>7</v>
      </c>
      <c r="G207" s="11"/>
      <c r="H207" s="12"/>
      <c r="I207" s="12"/>
    </row>
    <row r="208" spans="1:9" x14ac:dyDescent="0.25">
      <c r="A208" t="s">
        <v>60</v>
      </c>
      <c r="B208" s="3">
        <v>8</v>
      </c>
      <c r="C208" s="3">
        <v>8</v>
      </c>
      <c r="D208" s="2">
        <v>7</v>
      </c>
      <c r="G208" s="11"/>
      <c r="H208" s="12"/>
      <c r="I208" s="12"/>
    </row>
    <row r="209" spans="1:9" x14ac:dyDescent="0.25">
      <c r="A209" t="s">
        <v>61</v>
      </c>
      <c r="B209" s="3">
        <v>7</v>
      </c>
      <c r="C209" s="3">
        <v>8</v>
      </c>
      <c r="D209" s="2">
        <v>8</v>
      </c>
      <c r="G209" s="11"/>
      <c r="H209" s="12"/>
      <c r="I209" s="12"/>
    </row>
    <row r="210" spans="1:9" x14ac:dyDescent="0.25">
      <c r="A210" t="s">
        <v>62</v>
      </c>
      <c r="B210" s="3">
        <v>9</v>
      </c>
      <c r="C210" s="3">
        <v>9</v>
      </c>
      <c r="D210" s="2">
        <v>8</v>
      </c>
      <c r="G210" s="11"/>
      <c r="H210" s="12"/>
      <c r="I210" s="12"/>
    </row>
    <row r="211" spans="1:9" x14ac:dyDescent="0.25">
      <c r="A211" t="s">
        <v>63</v>
      </c>
      <c r="B211" s="3">
        <v>8</v>
      </c>
      <c r="C211" s="3">
        <v>8</v>
      </c>
      <c r="D211" s="2">
        <v>7</v>
      </c>
      <c r="G211" s="11"/>
      <c r="H211" s="12"/>
      <c r="I211" s="12"/>
    </row>
    <row r="212" spans="1:9" x14ac:dyDescent="0.25">
      <c r="A212" t="s">
        <v>64</v>
      </c>
      <c r="B212" s="3">
        <v>6</v>
      </c>
      <c r="C212" s="3">
        <v>9</v>
      </c>
      <c r="D212" s="2">
        <v>6</v>
      </c>
      <c r="G212" s="11"/>
      <c r="H212" s="12"/>
      <c r="I212" s="12"/>
    </row>
    <row r="213" spans="1:9" x14ac:dyDescent="0.25">
      <c r="A213" t="s">
        <v>65</v>
      </c>
      <c r="B213" s="3">
        <v>7</v>
      </c>
      <c r="C213" s="3">
        <v>8</v>
      </c>
      <c r="D213" s="2">
        <v>8</v>
      </c>
      <c r="G213" s="11"/>
      <c r="H213" s="12"/>
      <c r="I213" s="12"/>
    </row>
    <row r="214" spans="1:9" x14ac:dyDescent="0.25">
      <c r="A214" t="s">
        <v>68</v>
      </c>
      <c r="B214" s="3">
        <v>8</v>
      </c>
      <c r="C214" s="3">
        <v>9</v>
      </c>
      <c r="D214" s="2">
        <v>9</v>
      </c>
      <c r="G214" s="11"/>
      <c r="H214" s="12"/>
      <c r="I214" s="12"/>
    </row>
    <row r="215" spans="1:9" x14ac:dyDescent="0.25">
      <c r="A215" t="s">
        <v>69</v>
      </c>
      <c r="B215" s="3">
        <v>7</v>
      </c>
      <c r="C215" s="3">
        <v>7</v>
      </c>
      <c r="D215" s="2">
        <v>8</v>
      </c>
      <c r="G215" s="11"/>
      <c r="H215" s="12"/>
      <c r="I215" s="12"/>
    </row>
    <row r="216" spans="1:9" x14ac:dyDescent="0.25">
      <c r="A216" t="s">
        <v>70</v>
      </c>
      <c r="B216" s="3">
        <v>6</v>
      </c>
      <c r="C216" s="3">
        <v>6</v>
      </c>
      <c r="D216" s="2">
        <v>6</v>
      </c>
      <c r="G216" s="11"/>
      <c r="H216" s="12"/>
      <c r="I216" s="12"/>
    </row>
    <row r="217" spans="1:9" x14ac:dyDescent="0.25">
      <c r="A217" t="s">
        <v>71</v>
      </c>
      <c r="B217" s="3">
        <v>8</v>
      </c>
      <c r="C217" s="3">
        <v>8</v>
      </c>
      <c r="D217" s="2">
        <v>7</v>
      </c>
      <c r="G217" s="11"/>
      <c r="H217" s="12"/>
      <c r="I217" s="12"/>
    </row>
    <row r="218" spans="1:9" x14ac:dyDescent="0.25">
      <c r="A218" t="s">
        <v>72</v>
      </c>
      <c r="B218" s="3">
        <v>8</v>
      </c>
      <c r="C218" s="3">
        <v>8</v>
      </c>
      <c r="D218" s="2">
        <v>8</v>
      </c>
      <c r="G218" s="11"/>
      <c r="H218" s="12"/>
      <c r="I218" s="12"/>
    </row>
    <row r="219" spans="1:9" x14ac:dyDescent="0.25">
      <c r="A219" t="s">
        <v>73</v>
      </c>
      <c r="B219" s="3">
        <v>8</v>
      </c>
      <c r="C219" s="3">
        <v>9</v>
      </c>
      <c r="D219" s="2">
        <v>6</v>
      </c>
      <c r="G219" s="11"/>
      <c r="H219" s="12"/>
      <c r="I219" s="12"/>
    </row>
    <row r="220" spans="1:9" x14ac:dyDescent="0.25">
      <c r="A220" t="s">
        <v>74</v>
      </c>
      <c r="B220" s="3">
        <v>9</v>
      </c>
      <c r="C220" s="3">
        <v>8</v>
      </c>
      <c r="D220" s="2">
        <v>7</v>
      </c>
      <c r="G220" s="11"/>
      <c r="H220" s="12"/>
      <c r="I220" s="12"/>
    </row>
    <row r="221" spans="1:9" x14ac:dyDescent="0.25">
      <c r="A221" t="s">
        <v>75</v>
      </c>
      <c r="B221" s="3">
        <v>6</v>
      </c>
      <c r="C221" s="3">
        <v>7</v>
      </c>
      <c r="D221" s="2">
        <v>7</v>
      </c>
      <c r="G221" s="11"/>
      <c r="H221" s="12"/>
      <c r="I221" s="12"/>
    </row>
    <row r="222" spans="1:9" x14ac:dyDescent="0.25">
      <c r="A222" t="s">
        <v>76</v>
      </c>
      <c r="B222" s="3">
        <v>8</v>
      </c>
      <c r="C222" s="3">
        <v>9</v>
      </c>
      <c r="D222" s="2">
        <v>8</v>
      </c>
      <c r="G222" s="11"/>
      <c r="H222" s="12"/>
      <c r="I222" s="12"/>
    </row>
    <row r="223" spans="1:9" x14ac:dyDescent="0.25">
      <c r="A223" t="s">
        <v>77</v>
      </c>
      <c r="B223" s="3">
        <v>8</v>
      </c>
      <c r="C223" s="3">
        <v>9</v>
      </c>
      <c r="D223" s="2">
        <v>8</v>
      </c>
      <c r="G223" s="11"/>
      <c r="H223" s="12"/>
      <c r="I223" s="12"/>
    </row>
    <row r="224" spans="1:9" x14ac:dyDescent="0.25">
      <c r="A224" t="s">
        <v>78</v>
      </c>
      <c r="B224" s="3">
        <v>7</v>
      </c>
      <c r="C224" s="3">
        <v>7</v>
      </c>
      <c r="D224" s="2">
        <v>5</v>
      </c>
      <c r="G224" s="11"/>
      <c r="H224" s="12"/>
      <c r="I224" s="12"/>
    </row>
    <row r="225" spans="1:9" x14ac:dyDescent="0.25">
      <c r="A225" t="s">
        <v>79</v>
      </c>
      <c r="B225" s="3">
        <v>8</v>
      </c>
      <c r="C225" s="3">
        <v>8</v>
      </c>
      <c r="D225" s="2">
        <v>8</v>
      </c>
      <c r="G225" s="11"/>
      <c r="H225" s="12"/>
      <c r="I225" s="12"/>
    </row>
    <row r="226" spans="1:9" x14ac:dyDescent="0.25">
      <c r="A226" t="s">
        <v>80</v>
      </c>
      <c r="B226" s="3">
        <v>9</v>
      </c>
      <c r="C226" s="3">
        <v>8</v>
      </c>
      <c r="D226" s="2">
        <v>8</v>
      </c>
      <c r="G226" s="11"/>
      <c r="H226" s="12"/>
      <c r="I226" s="12"/>
    </row>
    <row r="227" spans="1:9" x14ac:dyDescent="0.25">
      <c r="A227" t="s">
        <v>81</v>
      </c>
      <c r="B227" s="3">
        <v>9</v>
      </c>
      <c r="C227" s="3">
        <v>9</v>
      </c>
      <c r="D227" s="2">
        <v>8</v>
      </c>
      <c r="G227" s="11"/>
      <c r="H227" s="12"/>
      <c r="I227" s="12"/>
    </row>
    <row r="228" spans="1:9" ht="15.75" thickBot="1" x14ac:dyDescent="0.3">
      <c r="A228" t="s">
        <v>82</v>
      </c>
      <c r="B228" s="3">
        <v>9</v>
      </c>
      <c r="C228" s="3">
        <v>8</v>
      </c>
      <c r="D228" s="2">
        <v>7</v>
      </c>
      <c r="G228" s="11"/>
      <c r="H228" s="12"/>
      <c r="I228" s="12"/>
    </row>
    <row r="229" spans="1:9" x14ac:dyDescent="0.25">
      <c r="A229" t="s">
        <v>83</v>
      </c>
      <c r="B229" s="3">
        <v>8</v>
      </c>
      <c r="C229" s="3">
        <v>8</v>
      </c>
      <c r="D229" s="2">
        <v>7</v>
      </c>
      <c r="E229" s="41" t="s">
        <v>90</v>
      </c>
      <c r="F229" s="41" t="s">
        <v>92</v>
      </c>
      <c r="G229" s="43" t="s">
        <v>91</v>
      </c>
      <c r="H229" s="12"/>
      <c r="I229" s="12"/>
    </row>
    <row r="230" spans="1:9" ht="15.75" thickBot="1" x14ac:dyDescent="0.3">
      <c r="A230" t="s">
        <v>84</v>
      </c>
      <c r="B230" s="3">
        <v>8</v>
      </c>
      <c r="C230" s="3">
        <v>8</v>
      </c>
      <c r="D230" s="2">
        <v>7</v>
      </c>
      <c r="E230" s="42"/>
      <c r="F230" s="42"/>
      <c r="G230" s="44"/>
      <c r="H230" s="12"/>
      <c r="I230" s="12"/>
    </row>
    <row r="231" spans="1:9" ht="15.75" thickBot="1" x14ac:dyDescent="0.3">
      <c r="B231" s="31">
        <f>SUM(B201:B230)</f>
        <v>230</v>
      </c>
      <c r="C231" s="31">
        <f>SUM(C201:C230)</f>
        <v>244</v>
      </c>
      <c r="D231" s="32">
        <f>SUM(D201:D230)</f>
        <v>219</v>
      </c>
      <c r="E231" s="38">
        <f>SUM(B231:D231)</f>
        <v>693</v>
      </c>
      <c r="F231" s="39">
        <v>270</v>
      </c>
      <c r="G231" s="40">
        <v>1350</v>
      </c>
      <c r="H231" s="12"/>
      <c r="I231" s="12"/>
    </row>
  </sheetData>
  <mergeCells count="19">
    <mergeCell ref="E229:E230"/>
    <mergeCell ref="E1:J1"/>
    <mergeCell ref="G129:G130"/>
    <mergeCell ref="G162:G163"/>
    <mergeCell ref="F195:F196"/>
    <mergeCell ref="G63:G64"/>
    <mergeCell ref="G96:G97"/>
    <mergeCell ref="H129:H130"/>
    <mergeCell ref="I129:I130"/>
    <mergeCell ref="H63:H64"/>
    <mergeCell ref="I63:I64"/>
    <mergeCell ref="H96:H97"/>
    <mergeCell ref="I96:I97"/>
    <mergeCell ref="F229:F230"/>
    <mergeCell ref="G229:G230"/>
    <mergeCell ref="H162:H163"/>
    <mergeCell ref="I162:I163"/>
    <mergeCell ref="G195:G196"/>
    <mergeCell ref="H195:H196"/>
  </mergeCells>
  <phoneticPr fontId="3" type="noConversion"/>
  <conditionalFormatting sqref="B35:F154 B155:D155 B156:F187 E188:F188 B189:F230">
    <cfRule type="cellIs" dxfId="3" priority="1" operator="between">
      <formula>117</formula>
      <formula>216</formula>
    </cfRule>
    <cfRule type="cellIs" dxfId="2" priority="2" operator="between">
      <formula>7</formula>
      <formula>9</formula>
    </cfRule>
    <cfRule type="cellIs" dxfId="1" priority="4" operator="between">
      <formula>4</formula>
      <formula>6</formula>
    </cfRule>
    <cfRule type="cellIs" dxfId="0" priority="5" operator="between">
      <formula>1</formula>
      <formula>3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Metrics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Richie Gibbons</dc:creator>
  <cp:lastModifiedBy>Shirajus Salekin Nabil</cp:lastModifiedBy>
  <dcterms:created xsi:type="dcterms:W3CDTF">2025-09-10T03:51:19Z</dcterms:created>
  <dcterms:modified xsi:type="dcterms:W3CDTF">2026-05-07T10:57:12Z</dcterms:modified>
</cp:coreProperties>
</file>